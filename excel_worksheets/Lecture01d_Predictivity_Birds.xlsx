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Data_Analysis" sheetId="2" r:id="rId5"/>
    <sheet state="visible" name="Step2_SS_Calculations" sheetId="3" r:id="rId6"/>
    <sheet state="visible" name="Answer_Key" sheetId="4" r:id="rId7"/>
  </sheets>
  <definedNames/>
  <calcPr/>
  <extLst>
    <ext uri="GoogleSheetsCustomDataVersion2">
      <go:sheetsCustomData xmlns:go="http://customooxmlschemas.google.com/" r:id="rId8" roundtripDataChecksum="W3+YnRvH5LR0KYtW90o5CX/NsJI8kGYUFS7JHGsM5Ww="/>
    </ext>
  </extLst>
</workbook>
</file>

<file path=xl/sharedStrings.xml><?xml version="1.0" encoding="utf-8"?>
<sst xmlns="http://schemas.openxmlformats.org/spreadsheetml/2006/main" count="102" uniqueCount="94">
  <si>
    <t>[Description] Model Predictivity - Calculate R², Adjusted R², and understand model fit quality</t>
  </si>
  <si>
    <t>Model Predictivity Worksheet</t>
  </si>
  <si>
    <t>Dataset: Birds Abundance Study</t>
  </si>
  <si>
    <t>Variables: ABUNDANCE (Y) vs ELEVATION (X)</t>
  </si>
  <si>
    <t>Source: ../Dataset/birds.txt</t>
  </si>
  <si>
    <t>Learning Objectives:</t>
  </si>
  <si>
    <t>1. Calculate SST (Total Sum of Squares)</t>
  </si>
  <si>
    <t>2. Calculate SSE (Error Sum of Squares) from residuals</t>
  </si>
  <si>
    <t>3. Calculate SSR (Regression Sum of Squares)</t>
  </si>
  <si>
    <t>4. Verify: SST = SSR + SSE</t>
  </si>
  <si>
    <t>5. Calculate R² = SSR/SST = 1 - SSE/SST</t>
  </si>
  <si>
    <t>6. Calculate Adjusted R² = 1 - (SSE/(n-p))/(SST/(n-1))</t>
  </si>
  <si>
    <t>7. Calculate RSE (Residual Standard Error) = sqrt(SSE/(n-p))</t>
  </si>
  <si>
    <t>Key Formulas:</t>
  </si>
  <si>
    <t>SST:</t>
  </si>
  <si>
    <t>Σ(Yᵢ - Ȳ)² = Total variation in Y</t>
  </si>
  <si>
    <t>Relation:</t>
  </si>
  <si>
    <t>SST = SSR + SSE (Total = Explained + Residual)</t>
  </si>
  <si>
    <t>SSR:</t>
  </si>
  <si>
    <t>Σ(Ŷᵢ - Ȳ)² = Variation explained by model</t>
  </si>
  <si>
    <t>SSE:</t>
  </si>
  <si>
    <t>Σ(Yᵢ - Ŷᵢ)² = Residual variation</t>
  </si>
  <si>
    <t>R²:</t>
  </si>
  <si>
    <t>SSR/SST = 1 - SSE/SST</t>
  </si>
  <si>
    <t>Adj R²:</t>
  </si>
  <si>
    <t>1 - [(n-1)/(n-p)] × (1-R²)</t>
  </si>
  <si>
    <t>RSE:</t>
  </si>
  <si>
    <t>sqrt(SSE/(n-p)) = sqrt(MSE)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</si>
  <si>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</si>
  <si>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</si>
  <si>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</si>
  <si>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</si>
  <si>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</si>
  <si>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</si>
  <si>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REAL DATA: Bird abundance vs elevation from birds.txt dataset</t>
  </si>
  <si>
    <t>BIRDS DATASET (subset of 6 observations)</t>
  </si>
  <si>
    <t>i</t>
  </si>
  <si>
    <t>Xᵢ (ELEVATION)</t>
  </si>
  <si>
    <t>Yᵢ (ABUNDANCE)</t>
  </si>
  <si>
    <t>Calculate: X̄ =</t>
  </si>
  <si>
    <t>Calculate: Ȳ =</t>
  </si>
  <si>
    <t>FITTED MODEL (given for this exercise):</t>
  </si>
  <si>
    <t>Ŷ = -2.4211 + 0.0865 × X</t>
  </si>
  <si>
    <t>[Description] Calculate Sum of Squares: SST, SSE, SSR and verify SST = SSR + SSE</t>
  </si>
  <si>
    <t>Given: Ŷ = -2.4211 + 0.0865 × X,  Ȳ = 8.97</t>
  </si>
  <si>
    <t>Xᵢ</t>
  </si>
  <si>
    <t>Yᵢ</t>
  </si>
  <si>
    <t>Ŷᵢ</t>
  </si>
  <si>
    <t>Yᵢ-Ȳ</t>
  </si>
  <si>
    <t>(Yᵢ-Ȳ)²</t>
  </si>
  <si>
    <t>Ŷᵢ-Ȳ</t>
  </si>
  <si>
    <t>(Ŷᵢ-Ȳ)²</t>
  </si>
  <si>
    <t>eᵢ=Yᵢ-Ŷᵢ</t>
  </si>
  <si>
    <t>eᵢ²</t>
  </si>
  <si>
    <t>SUM</t>
  </si>
  <si>
    <t>RESULTS:</t>
  </si>
  <si>
    <t>SST = Σ(Yᵢ-Ȳ)² =</t>
  </si>
  <si>
    <t>SSR = Σ(Ŷᵢ-Ȳ)² =</t>
  </si>
  <si>
    <t>SSE = Σeᵢ² =</t>
  </si>
  <si>
    <t>VERIFY: SSR + SSE =</t>
  </si>
  <si>
    <t>(should equal SST)</t>
  </si>
  <si>
    <t>R² = 1 - SSE/SST =</t>
  </si>
  <si>
    <t>Adjusted R² = 1 - [SSE/(n-p)] / [SST/(n-1)] = (n=6, p=2)</t>
  </si>
  <si>
    <t>Adjusted R² =</t>
  </si>
  <si>
    <t>RSE = sqrt(SSE/(n-p)) = sqrt(MSE) =</t>
  </si>
  <si>
    <t>(n=6, p=2, so n-p=4)</t>
  </si>
  <si>
    <t>[Description] ANSWER KEY</t>
  </si>
  <si>
    <t>Answers</t>
  </si>
  <si>
    <t>Description</t>
  </si>
  <si>
    <t>X̄</t>
  </si>
  <si>
    <t>ANSWER KEY</t>
  </si>
  <si>
    <t>Ȳ</t>
  </si>
  <si>
    <t>β̂</t>
  </si>
  <si>
    <t>X̄ = 131.6667</t>
  </si>
  <si>
    <t>α̂</t>
  </si>
  <si>
    <t>Ȳ = 8.9667</t>
  </si>
  <si>
    <t>SST</t>
  </si>
  <si>
    <t>SSR</t>
  </si>
  <si>
    <t>β̂ = 0.0865</t>
  </si>
  <si>
    <t>SSE</t>
  </si>
  <si>
    <t>α̂ = -2.4211</t>
  </si>
  <si>
    <t>R²</t>
  </si>
  <si>
    <t>Adjusted R²</t>
  </si>
  <si>
    <t>Detailed Calculations:</t>
  </si>
  <si>
    <t>MSE</t>
  </si>
  <si>
    <t>RSE</t>
  </si>
  <si>
    <t>eᵢ</t>
  </si>
  <si>
    <t>SST = 233.5933</t>
  </si>
  <si>
    <t>SSR = 51.4898</t>
  </si>
  <si>
    <t>SSE = 182.1035</t>
  </si>
  <si>
    <t>R² = 0.2204</t>
  </si>
  <si>
    <t>Adjusted R² = 0.0255</t>
  </si>
  <si>
    <t>MSE = SSE/(n-p) = 45.5259</t>
  </si>
  <si>
    <t>RSE = sqrt(MSE) = 6.7473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</si>
</sst>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rgb="FF505050"/>
      <name val="Calibri"/>
    </font>
    <font/>
    <font>
      <sz val="11.0"/>
      <color theme="1"/>
      <name val="Calibri"/>
    </font>
    <font>
      <b/>
      <sz val="14.0"/>
      <color rgb="FF4472C4"/>
      <name val="Calibri"/>
    </font>
    <font>
      <b/>
      <sz val="11.0"/>
      <color theme="1"/>
      <name val="Cambria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505050"/>
      <name val="Cambria"/>
    </font>
    <font>
      <b/>
      <sz val="11.0"/>
      <color rgb="FFFFFFFF"/>
      <name val="Cambria"/>
    </font>
    <font>
      <sz val="11.0"/>
      <color rgb="FFFFFFFF"/>
      <name val="Calibri"/>
    </font>
    <font>
      <b/>
      <sz val="14.0"/>
      <color rgb="FF4472C4"/>
      <name val="Cambria"/>
    </font>
  </fonts>
  <fills count="11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4" fillId="3" fontId="8" numFmtId="0" xfId="0" applyAlignment="1" applyBorder="1" applyFill="1" applyFont="1">
      <alignment vertical="bottom"/>
    </xf>
    <xf borderId="4" fillId="4" fontId="3" numFmtId="0" xfId="0" applyAlignment="1" applyBorder="1" applyFill="1" applyFont="1">
      <alignment vertical="bottom"/>
    </xf>
    <xf borderId="4" fillId="5" fontId="3" numFmtId="0" xfId="0" applyAlignment="1" applyBorder="1" applyFill="1" applyFont="1">
      <alignment vertical="bottom"/>
    </xf>
    <xf borderId="4" fillId="6" fontId="3" numFmtId="0" xfId="0" applyAlignment="1" applyBorder="1" applyFill="1" applyFont="1">
      <alignment vertical="bottom"/>
    </xf>
    <xf borderId="4" fillId="7" fontId="3" numFmtId="0" xfId="0" applyAlignment="1" applyBorder="1" applyFill="1" applyFont="1">
      <alignment vertical="bottom"/>
    </xf>
    <xf borderId="4" fillId="8" fontId="3" numFmtId="0" xfId="0" applyAlignment="1" applyBorder="1" applyFill="1" applyFont="1">
      <alignment vertical="bottom"/>
    </xf>
    <xf borderId="1" fillId="2" fontId="9" numFmtId="0" xfId="0" applyAlignment="1" applyBorder="1" applyFont="1">
      <alignment vertical="bottom"/>
    </xf>
    <xf borderId="4" fillId="3" fontId="5" numFmtId="0" xfId="0" applyAlignment="1" applyBorder="1" applyFont="1">
      <alignment vertical="bottom"/>
    </xf>
    <xf borderId="5" fillId="9" fontId="10" numFmtId="0" xfId="0" applyAlignment="1" applyBorder="1" applyFill="1" applyFont="1">
      <alignment horizontal="center" vertical="center"/>
    </xf>
    <xf borderId="5" fillId="9" fontId="11" numFmtId="0" xfId="0" applyAlignment="1" applyBorder="1" applyFont="1">
      <alignment horizontal="center" vertical="center"/>
    </xf>
    <xf borderId="5" fillId="4" fontId="3" numFmtId="0" xfId="0" applyAlignment="1" applyBorder="1" applyFont="1">
      <alignment horizontal="center" vertical="center"/>
    </xf>
    <xf borderId="5" fillId="6" fontId="3" numFmtId="0" xfId="0" applyAlignment="1" applyBorder="1" applyFont="1">
      <alignment vertical="bottom"/>
    </xf>
    <xf borderId="4" fillId="10" fontId="5" numFmtId="0" xfId="0" applyAlignment="1" applyBorder="1" applyFill="1" applyFont="1">
      <alignment vertical="bottom"/>
    </xf>
    <xf borderId="4" fillId="10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5" fillId="3" fontId="3" numFmtId="0" xfId="0" applyAlignment="1" applyBorder="1" applyFont="1">
      <alignment horizontal="center" vertical="center"/>
    </xf>
    <xf borderId="5" fillId="5" fontId="3" numFmtId="0" xfId="0" applyAlignment="1" applyBorder="1" applyFont="1">
      <alignment horizontal="center" vertical="center"/>
    </xf>
    <xf borderId="5" fillId="6" fontId="5" numFmtId="0" xfId="0" applyAlignment="1" applyBorder="1" applyFont="1">
      <alignment horizontal="center" vertical="center"/>
    </xf>
    <xf borderId="5" fillId="6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0" fontId="3" numFmtId="0" xfId="0" applyFont="1"/>
    <xf borderId="5" fillId="7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0"/>
    <col customWidth="1" min="3" max="26" width="8.71"/>
  </cols>
  <sheetData>
    <row r="1" ht="15.0" customHeight="1">
      <c r="A1" s="1" t="s">
        <v>0</v>
      </c>
      <c r="B1" s="2"/>
      <c r="C1" s="2"/>
      <c r="D1" s="2"/>
      <c r="E1" s="2"/>
      <c r="F1" s="3"/>
    </row>
    <row r="2">
      <c r="A2" s="4"/>
      <c r="B2" s="4"/>
    </row>
    <row r="3" ht="17.25" customHeight="1">
      <c r="A3" s="5" t="s">
        <v>1</v>
      </c>
      <c r="B3" s="4"/>
    </row>
    <row r="4">
      <c r="A4" s="4"/>
      <c r="B4" s="4"/>
    </row>
    <row r="5" ht="15.0" customHeight="1">
      <c r="A5" s="6" t="s">
        <v>2</v>
      </c>
      <c r="B5" s="4"/>
    </row>
    <row r="6" ht="15.0" customHeight="1">
      <c r="A6" s="4" t="s">
        <v>3</v>
      </c>
      <c r="B6" s="4"/>
    </row>
    <row r="7" ht="15.0" customHeight="1">
      <c r="A7" s="4" t="s">
        <v>4</v>
      </c>
      <c r="B7" s="4"/>
    </row>
    <row r="8">
      <c r="A8" s="4"/>
      <c r="B8" s="4"/>
    </row>
    <row r="9">
      <c r="A9" s="4"/>
      <c r="B9" s="4"/>
    </row>
    <row r="10" ht="15.0" customHeight="1">
      <c r="A10" s="7" t="s">
        <v>5</v>
      </c>
      <c r="B10" s="4"/>
    </row>
    <row r="11">
      <c r="A11" s="4"/>
      <c r="B11" s="4"/>
    </row>
    <row r="12" ht="15.0" customHeight="1">
      <c r="A12" s="4" t="s">
        <v>6</v>
      </c>
      <c r="B12" s="4"/>
    </row>
    <row r="13" ht="15.0" customHeight="1">
      <c r="A13" s="4" t="s">
        <v>7</v>
      </c>
      <c r="B13" s="4"/>
    </row>
    <row r="14" ht="15.0" customHeight="1">
      <c r="A14" s="4" t="s">
        <v>8</v>
      </c>
      <c r="B14" s="4"/>
    </row>
    <row r="15" ht="15.0" customHeight="1">
      <c r="A15" s="4" t="s">
        <v>9</v>
      </c>
      <c r="B15" s="4"/>
    </row>
    <row r="16" ht="15.0" customHeight="1">
      <c r="A16" s="4" t="s">
        <v>10</v>
      </c>
      <c r="B16" s="4"/>
    </row>
    <row r="17" ht="15.0" customHeight="1">
      <c r="A17" s="4" t="s">
        <v>11</v>
      </c>
      <c r="B17" s="4"/>
    </row>
    <row r="18" ht="15.0" customHeight="1">
      <c r="A18" s="4" t="s">
        <v>12</v>
      </c>
      <c r="B18" s="4"/>
    </row>
    <row r="19">
      <c r="A19" s="4"/>
      <c r="B19" s="4"/>
    </row>
    <row r="20" ht="15.0" customHeight="1">
      <c r="A20" s="6"/>
      <c r="B20" s="4"/>
    </row>
    <row r="21" ht="15.0" customHeight="1">
      <c r="A21" s="7" t="s">
        <v>13</v>
      </c>
      <c r="B21" s="4"/>
    </row>
    <row r="22" ht="15.0" customHeight="1">
      <c r="A22" s="8" t="s">
        <v>14</v>
      </c>
      <c r="B22" s="9" t="s">
        <v>15</v>
      </c>
    </row>
    <row r="23" ht="15.0" customHeight="1">
      <c r="A23" s="8" t="s">
        <v>16</v>
      </c>
      <c r="B23" s="9" t="s">
        <v>17</v>
      </c>
    </row>
    <row r="24" ht="15.0" customHeight="1">
      <c r="A24" s="8" t="s">
        <v>18</v>
      </c>
      <c r="B24" s="9" t="s">
        <v>19</v>
      </c>
    </row>
    <row r="25" ht="15.0" customHeight="1">
      <c r="A25" s="8" t="s">
        <v>20</v>
      </c>
      <c r="B25" s="9" t="s">
        <v>21</v>
      </c>
    </row>
    <row r="26" ht="15.0" customHeight="1">
      <c r="A26" s="8" t="s">
        <v>22</v>
      </c>
      <c r="B26" s="9" t="s">
        <v>23</v>
      </c>
    </row>
    <row r="27" ht="15.0" customHeight="1">
      <c r="A27" s="8" t="s">
        <v>24</v>
      </c>
      <c r="B27" s="9" t="s">
        <v>25</v>
      </c>
    </row>
    <row r="28" ht="15.0" customHeight="1">
      <c r="A28" s="8" t="s">
        <v>26</v>
      </c>
      <c r="B28" s="9" t="s">
        <v>27</v>
      </c>
    </row>
    <row r="29" ht="15.75" customHeight="1">
      <c r="A29" s="4"/>
      <c r="B29" s="4"/>
    </row>
    <row r="30" ht="15.75" customHeight="1">
      <c r="A30" s="4"/>
      <c r="B30" s="4"/>
    </row>
    <row r="31" ht="15.0" customHeight="1">
      <c r="A31" s="7" t="s">
        <v>28</v>
      </c>
      <c r="B31" s="4"/>
    </row>
    <row r="32" ht="15.75" customHeight="1">
      <c r="A32" s="4"/>
      <c r="B32" s="4"/>
    </row>
    <row r="33" ht="15.0" customHeight="1">
      <c r="A33" s="10"/>
      <c r="B33" s="4" t="s">
        <v>29</v>
      </c>
    </row>
    <row r="34" ht="15.0" customHeight="1">
      <c r="A34" s="11"/>
      <c r="B34" s="4" t="s">
        <v>30</v>
      </c>
    </row>
    <row r="35" ht="15.0" customHeight="1">
      <c r="A35" s="12"/>
      <c r="B35" s="4" t="s">
        <v>31</v>
      </c>
    </row>
    <row r="36" ht="15.0" customHeight="1">
      <c r="A36" s="13"/>
      <c r="B36" s="4" t="s">
        <v>32</v>
      </c>
    </row>
    <row r="37" ht="15.0" customHeight="1">
      <c r="A37" s="14"/>
      <c r="B37" s="4" t="s">
        <v>33</v>
      </c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0.0"/>
    <col customWidth="1" min="5" max="26" width="8.71"/>
  </cols>
  <sheetData>
    <row r="1" ht="15.0" customHeight="1">
      <c r="A1" s="15" t="s">
        <v>34</v>
      </c>
      <c r="B1" s="2"/>
      <c r="C1" s="2"/>
      <c r="D1" s="2"/>
      <c r="E1" s="2"/>
      <c r="F1" s="3"/>
    </row>
    <row r="2">
      <c r="A2" s="4"/>
      <c r="B2" s="4"/>
      <c r="C2" s="4"/>
      <c r="D2" s="4"/>
    </row>
    <row r="3" ht="15.0" customHeight="1">
      <c r="A3" s="16" t="s">
        <v>35</v>
      </c>
      <c r="B3" s="4"/>
      <c r="C3" s="4"/>
      <c r="D3" s="4"/>
    </row>
    <row r="4">
      <c r="A4" s="4"/>
      <c r="B4" s="4"/>
      <c r="C4" s="4"/>
      <c r="D4" s="4"/>
    </row>
    <row r="5" ht="15.0" customHeight="1">
      <c r="A5" s="17" t="s">
        <v>36</v>
      </c>
      <c r="B5" s="17" t="s">
        <v>37</v>
      </c>
      <c r="C5" s="17" t="s">
        <v>38</v>
      </c>
      <c r="D5" s="4"/>
    </row>
    <row r="6" ht="15.0" customHeight="1">
      <c r="A6" s="18">
        <v>1.0</v>
      </c>
      <c r="B6" s="19">
        <v>160.0</v>
      </c>
      <c r="C6" s="19">
        <v>5.3</v>
      </c>
      <c r="D6" s="4"/>
    </row>
    <row r="7" ht="15.0" customHeight="1">
      <c r="A7" s="18">
        <v>2.0</v>
      </c>
      <c r="B7" s="19">
        <v>60.0</v>
      </c>
      <c r="C7" s="19">
        <v>2.0</v>
      </c>
      <c r="D7" s="4"/>
    </row>
    <row r="8" ht="15.0" customHeight="1">
      <c r="A8" s="18">
        <v>3.0</v>
      </c>
      <c r="B8" s="19">
        <v>140.0</v>
      </c>
      <c r="C8" s="19">
        <v>1.5</v>
      </c>
      <c r="D8" s="4"/>
    </row>
    <row r="9" ht="15.0" customHeight="1">
      <c r="A9" s="18">
        <v>4.0</v>
      </c>
      <c r="B9" s="19">
        <v>160.0</v>
      </c>
      <c r="C9" s="19">
        <v>17.1</v>
      </c>
      <c r="D9" s="4"/>
    </row>
    <row r="10" ht="15.0" customHeight="1">
      <c r="A10" s="18">
        <v>5.0</v>
      </c>
      <c r="B10" s="19">
        <v>140.0</v>
      </c>
      <c r="C10" s="19">
        <v>13.8</v>
      </c>
      <c r="D10" s="4"/>
    </row>
    <row r="11" ht="15.0" customHeight="1">
      <c r="A11" s="18">
        <v>6.0</v>
      </c>
      <c r="B11" s="19">
        <v>130.0</v>
      </c>
      <c r="C11" s="19">
        <v>14.1</v>
      </c>
      <c r="D11" s="4"/>
    </row>
    <row r="12">
      <c r="A12" s="4"/>
      <c r="B12" s="4"/>
      <c r="C12" s="4"/>
      <c r="D12" s="4"/>
    </row>
    <row r="13">
      <c r="A13" s="4"/>
      <c r="B13" s="4"/>
      <c r="C13" s="4"/>
      <c r="D13" s="4"/>
    </row>
    <row r="14" ht="15.0" customHeight="1">
      <c r="A14" s="4" t="s">
        <v>39</v>
      </c>
      <c r="B14" s="20"/>
      <c r="C14" s="13" t="str">
        <f>IF(ISBLANK(B14),"← Enter answer",IF(ABS(B14-131.67)&lt;0.1,"✓ Correct!","✗ Try again"))</f>
        <v>← Enter answer</v>
      </c>
      <c r="D14" s="4"/>
    </row>
    <row r="15" ht="15.0" customHeight="1">
      <c r="A15" s="4" t="s">
        <v>40</v>
      </c>
      <c r="B15" s="20"/>
      <c r="C15" s="13" t="str">
        <f>IF(ISBLANK(B15),"← Enter answer",IF(ABS(B15-8.97)&lt;0.1,"✓ Correct!","✗ Try again"))</f>
        <v>← Enter answer</v>
      </c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 ht="15.0" customHeight="1">
      <c r="A18" s="21" t="s">
        <v>41</v>
      </c>
      <c r="B18" s="4"/>
      <c r="C18" s="4"/>
      <c r="D18" s="4"/>
    </row>
    <row r="19">
      <c r="A19" s="4"/>
      <c r="B19" s="4"/>
      <c r="C19" s="4"/>
      <c r="D19" s="4"/>
    </row>
    <row r="20" ht="15.0" customHeight="1">
      <c r="A20" s="22" t="s">
        <v>42</v>
      </c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10" width="12.0"/>
    <col customWidth="1" min="11" max="26" width="8.71"/>
  </cols>
  <sheetData>
    <row r="1" ht="15.0" customHeight="1">
      <c r="A1" s="15" t="s">
        <v>43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</row>
    <row r="3" ht="15.0" customHeight="1">
      <c r="A3" s="23" t="s">
        <v>44</v>
      </c>
      <c r="B3" s="4"/>
      <c r="C3" s="4"/>
      <c r="D3" s="4"/>
      <c r="E3" s="4"/>
      <c r="F3" s="4"/>
      <c r="G3" s="4"/>
      <c r="H3" s="4"/>
      <c r="I3" s="4"/>
      <c r="J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</row>
    <row r="5" ht="15.0" customHeight="1">
      <c r="A5" s="17" t="s">
        <v>36</v>
      </c>
      <c r="B5" s="17" t="s">
        <v>45</v>
      </c>
      <c r="C5" s="17" t="s">
        <v>46</v>
      </c>
      <c r="D5" s="17" t="s">
        <v>47</v>
      </c>
      <c r="E5" s="17" t="s">
        <v>48</v>
      </c>
      <c r="F5" s="17" t="s">
        <v>49</v>
      </c>
      <c r="G5" s="17" t="s">
        <v>50</v>
      </c>
      <c r="H5" s="17" t="s">
        <v>51</v>
      </c>
      <c r="I5" s="17" t="s">
        <v>52</v>
      </c>
      <c r="J5" s="17" t="s">
        <v>53</v>
      </c>
    </row>
    <row r="6" ht="15.0" customHeight="1">
      <c r="A6" s="24">
        <v>1.0</v>
      </c>
      <c r="B6" s="19">
        <v>160.0</v>
      </c>
      <c r="C6" s="19">
        <v>5.3</v>
      </c>
      <c r="D6" s="11"/>
      <c r="E6" s="25"/>
      <c r="F6" s="25"/>
      <c r="G6" s="25"/>
      <c r="H6" s="25"/>
      <c r="I6" s="25"/>
      <c r="J6" s="25"/>
    </row>
    <row r="7" ht="15.0" customHeight="1">
      <c r="A7" s="24">
        <v>2.0</v>
      </c>
      <c r="B7" s="19">
        <v>60.0</v>
      </c>
      <c r="C7" s="19">
        <v>2.0</v>
      </c>
      <c r="D7" s="25"/>
      <c r="E7" s="25"/>
      <c r="F7" s="25"/>
      <c r="G7" s="25"/>
      <c r="H7" s="25"/>
      <c r="I7" s="25"/>
      <c r="J7" s="25"/>
    </row>
    <row r="8" ht="15.0" customHeight="1">
      <c r="A8" s="24">
        <v>3.0</v>
      </c>
      <c r="B8" s="19">
        <v>140.0</v>
      </c>
      <c r="C8" s="19">
        <v>1.5</v>
      </c>
      <c r="D8" s="25"/>
      <c r="E8" s="25"/>
      <c r="F8" s="25"/>
      <c r="G8" s="25"/>
      <c r="H8" s="25"/>
      <c r="I8" s="25"/>
      <c r="J8" s="25"/>
    </row>
    <row r="9" ht="15.0" customHeight="1">
      <c r="A9" s="24">
        <v>4.0</v>
      </c>
      <c r="B9" s="19">
        <v>160.0</v>
      </c>
      <c r="C9" s="19">
        <v>17.1</v>
      </c>
      <c r="D9" s="25"/>
      <c r="E9" s="25"/>
      <c r="F9" s="25"/>
      <c r="G9" s="25"/>
      <c r="H9" s="25"/>
      <c r="I9" s="25"/>
      <c r="J9" s="25"/>
    </row>
    <row r="10" ht="15.0" customHeight="1">
      <c r="A10" s="24">
        <v>5.0</v>
      </c>
      <c r="B10" s="19">
        <v>140.0</v>
      </c>
      <c r="C10" s="19">
        <v>13.8</v>
      </c>
      <c r="D10" s="25"/>
      <c r="E10" s="25"/>
      <c r="F10" s="25"/>
      <c r="G10" s="25"/>
      <c r="H10" s="25"/>
      <c r="I10" s="25"/>
      <c r="J10" s="25"/>
    </row>
    <row r="11" ht="15.0" customHeight="1">
      <c r="A11" s="24">
        <v>6.0</v>
      </c>
      <c r="B11" s="19">
        <v>130.0</v>
      </c>
      <c r="C11" s="19">
        <v>14.1</v>
      </c>
      <c r="D11" s="25"/>
      <c r="E11" s="25"/>
      <c r="F11" s="25"/>
      <c r="G11" s="25"/>
      <c r="H11" s="25"/>
      <c r="I11" s="25"/>
      <c r="J11" s="25"/>
    </row>
    <row r="12" ht="15.0" customHeight="1">
      <c r="A12" s="26" t="s">
        <v>54</v>
      </c>
      <c r="B12" s="4"/>
      <c r="C12" s="4"/>
      <c r="D12" s="4"/>
      <c r="E12" s="4"/>
      <c r="F12" s="27"/>
      <c r="G12" s="4"/>
      <c r="H12" s="27"/>
      <c r="I12" s="4"/>
      <c r="J12" s="27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ht="15.0" customHeight="1">
      <c r="A15" s="16" t="s">
        <v>55</v>
      </c>
      <c r="B15" s="4"/>
      <c r="C15" s="4"/>
      <c r="D15" s="4"/>
      <c r="E15" s="4"/>
      <c r="F15" s="4"/>
      <c r="G15" s="4"/>
      <c r="H15" s="4"/>
      <c r="I15" s="4"/>
      <c r="J15" s="4"/>
    </row>
    <row r="16">
      <c r="A16" s="28"/>
      <c r="B16" s="4"/>
      <c r="C16" s="4"/>
      <c r="D16" s="4"/>
      <c r="E16" s="4"/>
      <c r="F16" s="4"/>
      <c r="G16" s="4"/>
      <c r="H16" s="4"/>
      <c r="I16" s="4"/>
      <c r="J16" s="4"/>
    </row>
    <row r="17" ht="15.0" customHeight="1">
      <c r="A17" s="28" t="s">
        <v>56</v>
      </c>
      <c r="B17" s="20"/>
      <c r="C17" s="4"/>
      <c r="D17" s="4"/>
      <c r="E17" s="4"/>
      <c r="F17" s="4"/>
      <c r="G17" s="4"/>
      <c r="H17" s="4"/>
      <c r="I17" s="4"/>
      <c r="J17" s="4"/>
    </row>
    <row r="18" ht="15.0" customHeight="1">
      <c r="A18" s="28" t="s">
        <v>57</v>
      </c>
      <c r="B18" s="20"/>
      <c r="C18" s="4"/>
      <c r="D18" s="4"/>
      <c r="E18" s="4"/>
      <c r="F18" s="4"/>
      <c r="G18" s="4"/>
      <c r="H18" s="4"/>
      <c r="I18" s="4"/>
      <c r="J18" s="4"/>
    </row>
    <row r="19" ht="15.0" customHeight="1">
      <c r="A19" s="28" t="s">
        <v>58</v>
      </c>
      <c r="B19" s="20"/>
      <c r="C19" s="4"/>
      <c r="D19" s="4"/>
      <c r="E19" s="4"/>
      <c r="F19" s="4"/>
      <c r="G19" s="4"/>
      <c r="H19" s="4"/>
      <c r="I19" s="4"/>
      <c r="J19" s="4"/>
    </row>
    <row r="20">
      <c r="A20" s="28"/>
      <c r="B20" s="4"/>
      <c r="C20" s="4"/>
      <c r="D20" s="4"/>
      <c r="E20" s="4"/>
      <c r="F20" s="4"/>
      <c r="G20" s="4"/>
      <c r="H20" s="4"/>
      <c r="I20" s="4"/>
      <c r="J20" s="4"/>
    </row>
    <row r="21" ht="15.0" customHeight="1">
      <c r="A21" s="28" t="s">
        <v>59</v>
      </c>
      <c r="B21" s="20"/>
      <c r="C21" s="4" t="s">
        <v>60</v>
      </c>
      <c r="D21" s="4"/>
      <c r="E21" s="4"/>
      <c r="F21" s="4"/>
      <c r="G21" s="4"/>
      <c r="H21" s="4"/>
      <c r="I21" s="4"/>
      <c r="J21" s="4"/>
    </row>
    <row r="22" ht="15.75" customHeight="1">
      <c r="A22" s="28"/>
      <c r="B22" s="4"/>
      <c r="C22" s="4"/>
      <c r="D22" s="4"/>
      <c r="E22" s="4"/>
      <c r="F22" s="4"/>
      <c r="G22" s="4"/>
      <c r="H22" s="4"/>
      <c r="I22" s="4"/>
      <c r="J22" s="4"/>
    </row>
    <row r="23" ht="15.75" customHeight="1">
      <c r="A23" s="28"/>
      <c r="B23" s="4"/>
      <c r="C23" s="4"/>
      <c r="D23" s="4"/>
      <c r="E23" s="4"/>
      <c r="F23" s="4"/>
      <c r="G23" s="4"/>
      <c r="H23" s="4"/>
      <c r="I23" s="4"/>
      <c r="J23" s="4"/>
    </row>
    <row r="24" ht="15.0" customHeight="1">
      <c r="A24" s="28" t="s">
        <v>61</v>
      </c>
      <c r="B24" s="20"/>
      <c r="C24" s="4"/>
      <c r="D24" s="4"/>
      <c r="E24" s="4"/>
      <c r="F24" s="4"/>
      <c r="G24" s="4"/>
      <c r="H24" s="4"/>
      <c r="I24" s="4"/>
      <c r="J24" s="4"/>
    </row>
    <row r="25" ht="15.0" customHeight="1">
      <c r="A25" s="4" t="s">
        <v>62</v>
      </c>
      <c r="B25" s="4"/>
      <c r="C25" s="4"/>
      <c r="D25" s="4"/>
      <c r="E25" s="4"/>
      <c r="F25" s="4"/>
      <c r="G25" s="4"/>
      <c r="H25" s="4"/>
      <c r="I25" s="4"/>
      <c r="J25" s="4"/>
    </row>
    <row r="26" ht="15.0" customHeight="1">
      <c r="A26" s="28" t="s">
        <v>63</v>
      </c>
      <c r="B26" s="20"/>
      <c r="C26" s="4"/>
      <c r="D26" s="4"/>
      <c r="E26" s="4"/>
      <c r="F26" s="4"/>
      <c r="G26" s="4"/>
      <c r="H26" s="4"/>
      <c r="I26" s="4"/>
      <c r="J26" s="4"/>
    </row>
    <row r="27" ht="15.0" customHeight="1">
      <c r="A27" s="28" t="s">
        <v>64</v>
      </c>
      <c r="B27" s="20"/>
      <c r="C27" s="4" t="s">
        <v>65</v>
      </c>
      <c r="D27" s="4"/>
      <c r="E27" s="4"/>
      <c r="F27" s="4"/>
      <c r="G27" s="4"/>
      <c r="H27" s="4"/>
      <c r="I27" s="4"/>
      <c r="J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2.0"/>
    <col customWidth="1" min="9" max="10" width="8.71"/>
    <col customWidth="1" hidden="1" min="11" max="12" width="13.0"/>
    <col customWidth="1" min="13" max="26" width="8.71"/>
  </cols>
  <sheetData>
    <row r="1" ht="15.0" customHeight="1">
      <c r="A1" s="15" t="s">
        <v>66</v>
      </c>
      <c r="B1" s="2"/>
      <c r="C1" s="2"/>
      <c r="D1" s="2"/>
      <c r="E1" s="3"/>
      <c r="F1" s="4"/>
      <c r="G1" s="4"/>
      <c r="H1" s="4"/>
      <c r="K1" s="4" t="s">
        <v>67</v>
      </c>
      <c r="L1" s="4" t="s">
        <v>68</v>
      </c>
    </row>
    <row r="2">
      <c r="A2" s="4"/>
      <c r="B2" s="4"/>
      <c r="C2" s="4"/>
      <c r="D2" s="4"/>
      <c r="E2" s="4"/>
      <c r="F2" s="4"/>
      <c r="G2" s="4"/>
      <c r="H2" s="4"/>
      <c r="K2" s="4">
        <v>131.6667</v>
      </c>
      <c r="L2" s="4" t="s">
        <v>69</v>
      </c>
    </row>
    <row r="3" ht="17.25" customHeight="1">
      <c r="A3" s="29" t="s">
        <v>70</v>
      </c>
      <c r="B3" s="4"/>
      <c r="C3" s="4"/>
      <c r="D3" s="4"/>
      <c r="E3" s="4"/>
      <c r="F3" s="4"/>
      <c r="G3" s="4"/>
      <c r="H3" s="4"/>
      <c r="K3" s="4">
        <v>8.9667</v>
      </c>
      <c r="L3" s="4" t="s">
        <v>71</v>
      </c>
    </row>
    <row r="4">
      <c r="A4" s="4"/>
      <c r="B4" s="4"/>
      <c r="C4" s="4"/>
      <c r="D4" s="4"/>
      <c r="E4" s="4"/>
      <c r="F4" s="4"/>
      <c r="G4" s="4"/>
      <c r="H4" s="4"/>
      <c r="K4" s="4">
        <v>0.0865</v>
      </c>
      <c r="L4" s="4" t="s">
        <v>72</v>
      </c>
    </row>
    <row r="5" ht="15.0" customHeight="1">
      <c r="A5" s="13" t="s">
        <v>73</v>
      </c>
      <c r="B5" s="4"/>
      <c r="C5" s="4"/>
      <c r="D5" s="4"/>
      <c r="E5" s="4"/>
      <c r="F5" s="4"/>
      <c r="G5" s="4"/>
      <c r="H5" s="4"/>
      <c r="K5" s="4">
        <v>-2.4211</v>
      </c>
      <c r="L5" s="4" t="s">
        <v>74</v>
      </c>
    </row>
    <row r="6" ht="15.0" customHeight="1">
      <c r="A6" s="13" t="s">
        <v>75</v>
      </c>
      <c r="B6" s="4"/>
      <c r="C6" s="4"/>
      <c r="D6" s="4"/>
      <c r="E6" s="4"/>
      <c r="F6" s="4"/>
      <c r="G6" s="4"/>
      <c r="H6" s="4"/>
      <c r="K6" s="4">
        <v>233.5933</v>
      </c>
      <c r="L6" s="4" t="s">
        <v>76</v>
      </c>
    </row>
    <row r="7">
      <c r="A7" s="4"/>
      <c r="B7" s="4"/>
      <c r="C7" s="4"/>
      <c r="D7" s="4"/>
      <c r="E7" s="4"/>
      <c r="F7" s="4"/>
      <c r="G7" s="4"/>
      <c r="H7" s="4"/>
      <c r="K7" s="4">
        <v>51.4898</v>
      </c>
      <c r="L7" s="4" t="s">
        <v>77</v>
      </c>
    </row>
    <row r="8" ht="15.0" customHeight="1">
      <c r="A8" s="13" t="s">
        <v>78</v>
      </c>
      <c r="B8" s="4"/>
      <c r="C8" s="4"/>
      <c r="D8" s="4"/>
      <c r="E8" s="4"/>
      <c r="F8" s="4"/>
      <c r="G8" s="4"/>
      <c r="H8" s="4"/>
      <c r="K8" s="4">
        <v>182.1035</v>
      </c>
      <c r="L8" s="4" t="s">
        <v>79</v>
      </c>
    </row>
    <row r="9" ht="15.0" customHeight="1">
      <c r="A9" s="13" t="s">
        <v>80</v>
      </c>
      <c r="B9" s="4"/>
      <c r="C9" s="4"/>
      <c r="D9" s="4"/>
      <c r="E9" s="4"/>
      <c r="F9" s="4"/>
      <c r="G9" s="4"/>
      <c r="H9" s="4"/>
      <c r="K9" s="4">
        <v>0.2204</v>
      </c>
      <c r="L9" s="4" t="s">
        <v>81</v>
      </c>
    </row>
    <row r="10">
      <c r="A10" s="4"/>
      <c r="B10" s="4"/>
      <c r="C10" s="4"/>
      <c r="D10" s="4"/>
      <c r="E10" s="4"/>
      <c r="F10" s="4"/>
      <c r="G10" s="4"/>
      <c r="H10" s="4"/>
      <c r="K10" s="4">
        <v>0.0255</v>
      </c>
      <c r="L10" s="4" t="s">
        <v>82</v>
      </c>
    </row>
    <row r="11" ht="15.0" customHeight="1">
      <c r="A11" s="6" t="s">
        <v>83</v>
      </c>
      <c r="B11" s="4"/>
      <c r="C11" s="4"/>
      <c r="D11" s="4"/>
      <c r="E11" s="4"/>
      <c r="F11" s="4"/>
      <c r="G11" s="4"/>
      <c r="H11" s="4"/>
      <c r="K11" s="4">
        <v>45.5259</v>
      </c>
      <c r="L11" s="4" t="s">
        <v>84</v>
      </c>
    </row>
    <row r="12">
      <c r="A12" s="4"/>
      <c r="B12" s="4"/>
      <c r="C12" s="4"/>
      <c r="D12" s="4"/>
      <c r="E12" s="4"/>
      <c r="F12" s="4"/>
      <c r="G12" s="4"/>
      <c r="H12" s="4"/>
      <c r="K12" s="4">
        <v>6.7473</v>
      </c>
      <c r="L12" s="4" t="s">
        <v>85</v>
      </c>
    </row>
    <row r="13" ht="15.0" customHeight="1">
      <c r="A13" s="17" t="s">
        <v>36</v>
      </c>
      <c r="B13" s="17" t="s">
        <v>47</v>
      </c>
      <c r="C13" s="17" t="s">
        <v>48</v>
      </c>
      <c r="D13" s="17" t="s">
        <v>49</v>
      </c>
      <c r="E13" s="17" t="s">
        <v>50</v>
      </c>
      <c r="F13" s="17" t="s">
        <v>51</v>
      </c>
      <c r="G13" s="17" t="s">
        <v>86</v>
      </c>
      <c r="H13" s="17" t="s">
        <v>53</v>
      </c>
      <c r="K13" s="30"/>
      <c r="L13" s="30"/>
    </row>
    <row r="14" ht="15.0" customHeight="1">
      <c r="A14" s="24">
        <v>1.0</v>
      </c>
      <c r="B14" s="31">
        <v>11.4172</v>
      </c>
      <c r="C14" s="31">
        <v>-3.6667</v>
      </c>
      <c r="D14" s="31">
        <v>13.4444</v>
      </c>
      <c r="E14" s="31">
        <v>2.4505</v>
      </c>
      <c r="F14" s="31">
        <v>6.0051</v>
      </c>
      <c r="G14" s="31">
        <v>-6.1172</v>
      </c>
      <c r="H14" s="31">
        <v>37.42</v>
      </c>
      <c r="K14" s="30"/>
      <c r="L14" s="30"/>
    </row>
    <row r="15" ht="15.0" customHeight="1">
      <c r="A15" s="24">
        <v>2.0</v>
      </c>
      <c r="B15" s="31">
        <v>2.7683</v>
      </c>
      <c r="C15" s="31">
        <v>-6.9667</v>
      </c>
      <c r="D15" s="31">
        <v>48.5344</v>
      </c>
      <c r="E15" s="31">
        <v>-6.1984</v>
      </c>
      <c r="F15" s="31">
        <v>38.42</v>
      </c>
      <c r="G15" s="31">
        <v>-0.7683</v>
      </c>
      <c r="H15" s="31">
        <v>0.5903</v>
      </c>
      <c r="K15" s="30"/>
      <c r="L15" s="30"/>
    </row>
    <row r="16" ht="15.0" customHeight="1">
      <c r="A16" s="24">
        <v>3.0</v>
      </c>
      <c r="B16" s="31">
        <v>9.6874</v>
      </c>
      <c r="C16" s="31">
        <v>-7.4667</v>
      </c>
      <c r="D16" s="31">
        <v>55.7511</v>
      </c>
      <c r="E16" s="31">
        <v>0.7207</v>
      </c>
      <c r="F16" s="31">
        <v>0.5195</v>
      </c>
      <c r="G16" s="31">
        <v>-8.1874</v>
      </c>
      <c r="H16" s="31">
        <v>67.0337</v>
      </c>
      <c r="K16" s="30"/>
      <c r="L16" s="30"/>
    </row>
    <row r="17" ht="15.0" customHeight="1">
      <c r="A17" s="24">
        <v>4.0</v>
      </c>
      <c r="B17" s="31">
        <v>11.4172</v>
      </c>
      <c r="C17" s="31">
        <v>8.1333</v>
      </c>
      <c r="D17" s="31">
        <v>66.1511</v>
      </c>
      <c r="E17" s="31">
        <v>2.4505</v>
      </c>
      <c r="F17" s="31">
        <v>6.0051</v>
      </c>
      <c r="G17" s="31">
        <v>5.6828</v>
      </c>
      <c r="H17" s="31">
        <v>32.2943</v>
      </c>
      <c r="K17" s="30"/>
      <c r="L17" s="30"/>
    </row>
    <row r="18" ht="15.0" customHeight="1">
      <c r="A18" s="24">
        <v>5.0</v>
      </c>
      <c r="B18" s="31">
        <v>9.6874</v>
      </c>
      <c r="C18" s="31">
        <v>4.8333</v>
      </c>
      <c r="D18" s="31">
        <v>23.3611</v>
      </c>
      <c r="E18" s="31">
        <v>0.7207</v>
      </c>
      <c r="F18" s="31">
        <v>0.5195</v>
      </c>
      <c r="G18" s="31">
        <v>4.1126</v>
      </c>
      <c r="H18" s="31">
        <v>16.9134</v>
      </c>
      <c r="K18" s="30"/>
      <c r="L18" s="30"/>
    </row>
    <row r="19" ht="15.0" customHeight="1">
      <c r="A19" s="24">
        <v>6.0</v>
      </c>
      <c r="B19" s="31">
        <v>8.8225</v>
      </c>
      <c r="C19" s="31">
        <v>5.1333</v>
      </c>
      <c r="D19" s="31">
        <v>26.3511</v>
      </c>
      <c r="E19" s="31">
        <v>-0.1441</v>
      </c>
      <c r="F19" s="31">
        <v>0.0208</v>
      </c>
      <c r="G19" s="31">
        <v>5.2775</v>
      </c>
      <c r="H19" s="31">
        <v>27.8518</v>
      </c>
      <c r="K19" s="30"/>
      <c r="L19" s="30"/>
    </row>
    <row r="20">
      <c r="A20" s="4"/>
      <c r="B20" s="4"/>
      <c r="C20" s="4"/>
      <c r="D20" s="4"/>
      <c r="E20" s="4"/>
      <c r="F20" s="4"/>
      <c r="G20" s="4"/>
      <c r="H20" s="4"/>
      <c r="K20" s="30"/>
      <c r="L20" s="30"/>
    </row>
    <row r="21" ht="15.75" customHeight="1">
      <c r="A21" s="4"/>
      <c r="B21" s="4"/>
      <c r="C21" s="4"/>
      <c r="D21" s="4"/>
      <c r="E21" s="4"/>
      <c r="F21" s="4"/>
      <c r="G21" s="4"/>
      <c r="H21" s="4"/>
      <c r="K21" s="30"/>
      <c r="L21" s="30"/>
    </row>
    <row r="22" ht="15.0" customHeight="1">
      <c r="A22" s="13" t="s">
        <v>87</v>
      </c>
      <c r="B22" s="4"/>
      <c r="C22" s="4"/>
      <c r="D22" s="4"/>
      <c r="E22" s="4"/>
      <c r="F22" s="4"/>
      <c r="G22" s="4"/>
      <c r="H22" s="4"/>
      <c r="K22" s="30"/>
      <c r="L22" s="30"/>
    </row>
    <row r="23" ht="15.0" customHeight="1">
      <c r="A23" s="13" t="s">
        <v>88</v>
      </c>
      <c r="B23" s="4"/>
      <c r="C23" s="4"/>
      <c r="D23" s="4"/>
      <c r="E23" s="4"/>
      <c r="F23" s="4"/>
      <c r="G23" s="4"/>
      <c r="H23" s="4"/>
      <c r="K23" s="30"/>
      <c r="L23" s="30"/>
    </row>
    <row r="24" ht="15.0" customHeight="1">
      <c r="A24" s="13" t="s">
        <v>89</v>
      </c>
      <c r="B24" s="4"/>
      <c r="C24" s="4"/>
      <c r="D24" s="4"/>
      <c r="E24" s="4"/>
      <c r="F24" s="4"/>
      <c r="G24" s="4"/>
      <c r="H24" s="4"/>
      <c r="K24" s="30"/>
      <c r="L24" s="30"/>
    </row>
    <row r="25" ht="15.75" customHeight="1">
      <c r="A25" s="4"/>
      <c r="B25" s="4"/>
      <c r="C25" s="4"/>
      <c r="D25" s="4"/>
      <c r="E25" s="4"/>
      <c r="F25" s="4"/>
      <c r="G25" s="4"/>
      <c r="H25" s="4"/>
      <c r="K25" s="30"/>
      <c r="L25" s="30"/>
    </row>
    <row r="26" ht="15.0" customHeight="1">
      <c r="A26" s="13" t="s">
        <v>90</v>
      </c>
      <c r="B26" s="4"/>
      <c r="C26" s="4"/>
      <c r="D26" s="4"/>
      <c r="E26" s="4"/>
      <c r="F26" s="4"/>
      <c r="G26" s="4"/>
      <c r="H26" s="4"/>
      <c r="K26" s="30"/>
      <c r="L26" s="30"/>
    </row>
    <row r="27" ht="15.0" customHeight="1">
      <c r="A27" s="13" t="s">
        <v>91</v>
      </c>
      <c r="B27" s="4"/>
      <c r="C27" s="4"/>
      <c r="D27" s="4"/>
      <c r="E27" s="4"/>
      <c r="F27" s="4"/>
      <c r="G27" s="4"/>
      <c r="H27" s="4"/>
      <c r="K27" s="30"/>
      <c r="L27" s="30"/>
    </row>
    <row r="28" ht="15.0" customHeight="1">
      <c r="A28" s="13" t="s">
        <v>92</v>
      </c>
      <c r="B28" s="4"/>
      <c r="C28" s="4"/>
      <c r="D28" s="4"/>
      <c r="E28" s="4"/>
      <c r="F28" s="4"/>
      <c r="G28" s="4"/>
      <c r="H28" s="4"/>
      <c r="K28" s="30"/>
      <c r="L28" s="30"/>
    </row>
    <row r="29" ht="15.0" customHeight="1">
      <c r="A29" s="13" t="s">
        <v>93</v>
      </c>
      <c r="B29" s="4"/>
      <c r="C29" s="4"/>
      <c r="D29" s="4"/>
      <c r="E29" s="4"/>
      <c r="F29" s="4"/>
      <c r="G29" s="4"/>
      <c r="H29" s="4"/>
      <c r="K29" s="30"/>
      <c r="L29" s="30"/>
    </row>
    <row r="30" ht="15.75" customHeight="1">
      <c r="A30" s="4"/>
      <c r="B30" s="4"/>
      <c r="C30" s="4"/>
      <c r="D30" s="4"/>
      <c r="E30" s="4"/>
      <c r="F30" s="4"/>
      <c r="G30" s="4"/>
      <c r="H30" s="4"/>
      <c r="K30" s="30"/>
      <c r="L30" s="30"/>
    </row>
    <row r="31" ht="15.75" customHeight="1">
      <c r="A31" s="4"/>
      <c r="B31" s="4"/>
      <c r="C31" s="4"/>
      <c r="D31" s="4"/>
      <c r="E31" s="4"/>
      <c r="F31" s="4"/>
      <c r="G31" s="4"/>
      <c r="H31" s="4"/>
      <c r="K31" s="30"/>
      <c r="L31" s="30"/>
    </row>
    <row r="32" ht="15.75" customHeight="1">
      <c r="A32" s="4"/>
      <c r="B32" s="4"/>
      <c r="C32" s="4"/>
      <c r="D32" s="4"/>
      <c r="E32" s="4"/>
      <c r="F32" s="4"/>
      <c r="G32" s="4"/>
      <c r="H32" s="4"/>
      <c r="K32" s="30"/>
      <c r="L32" s="30"/>
    </row>
    <row r="33" ht="15.75" customHeight="1">
      <c r="A33" s="4"/>
      <c r="B33" s="4"/>
      <c r="C33" s="4"/>
      <c r="D33" s="4"/>
      <c r="E33" s="4"/>
      <c r="F33" s="4"/>
      <c r="G33" s="4"/>
      <c r="H33" s="4"/>
      <c r="K33" s="30"/>
      <c r="L33" s="30"/>
    </row>
    <row r="34" ht="15.75" customHeight="1">
      <c r="A34" s="4"/>
      <c r="B34" s="4"/>
      <c r="C34" s="4"/>
      <c r="D34" s="4"/>
      <c r="E34" s="4"/>
      <c r="F34" s="4"/>
      <c r="G34" s="4"/>
      <c r="H34" s="4"/>
      <c r="K34" s="30"/>
      <c r="L34" s="30"/>
    </row>
    <row r="35" ht="15.75" customHeight="1">
      <c r="A35" s="4"/>
      <c r="B35" s="4"/>
      <c r="C35" s="4"/>
      <c r="D35" s="4"/>
      <c r="E35" s="4"/>
      <c r="F35" s="4"/>
      <c r="G35" s="4"/>
      <c r="H35" s="4"/>
      <c r="K35" s="30"/>
      <c r="L35" s="30"/>
    </row>
    <row r="36" ht="15.75" customHeight="1">
      <c r="A36" s="4"/>
      <c r="B36" s="4"/>
      <c r="C36" s="4"/>
      <c r="D36" s="4"/>
      <c r="E36" s="4"/>
      <c r="F36" s="4"/>
      <c r="G36" s="4"/>
      <c r="H36" s="4"/>
      <c r="K36" s="30"/>
      <c r="L36" s="30"/>
    </row>
    <row r="37" ht="15.75" customHeight="1">
      <c r="A37" s="4"/>
      <c r="B37" s="4"/>
      <c r="C37" s="4"/>
      <c r="D37" s="4"/>
      <c r="E37" s="4"/>
      <c r="F37" s="4"/>
      <c r="G37" s="4"/>
      <c r="H37" s="4"/>
      <c r="K37" s="30"/>
      <c r="L37" s="30"/>
    </row>
    <row r="38" ht="15.75" customHeight="1">
      <c r="A38" s="4"/>
      <c r="B38" s="4"/>
      <c r="C38" s="4"/>
      <c r="D38" s="4"/>
      <c r="E38" s="4"/>
      <c r="F38" s="4"/>
      <c r="G38" s="4"/>
      <c r="H38" s="4"/>
      <c r="K38" s="30"/>
      <c r="L38" s="30"/>
    </row>
    <row r="39" ht="15.75" customHeight="1">
      <c r="A39" s="4"/>
      <c r="B39" s="4"/>
      <c r="C39" s="4"/>
      <c r="D39" s="4"/>
      <c r="E39" s="4"/>
      <c r="F39" s="4"/>
      <c r="G39" s="4"/>
      <c r="H39" s="4"/>
      <c r="K39" s="30"/>
      <c r="L39" s="30"/>
    </row>
    <row r="40" ht="15.75" customHeight="1">
      <c r="A40" s="4"/>
      <c r="B40" s="4"/>
      <c r="C40" s="4"/>
      <c r="D40" s="4"/>
      <c r="E40" s="4"/>
      <c r="F40" s="4"/>
      <c r="G40" s="4"/>
      <c r="H40" s="4"/>
      <c r="K40" s="30"/>
      <c r="L40" s="30"/>
    </row>
    <row r="41" ht="15.75" customHeight="1">
      <c r="A41" s="4"/>
      <c r="B41" s="4"/>
      <c r="C41" s="4"/>
      <c r="D41" s="4"/>
      <c r="E41" s="4"/>
      <c r="F41" s="4"/>
      <c r="G41" s="4"/>
      <c r="H41" s="4"/>
      <c r="K41" s="30"/>
      <c r="L41" s="30"/>
    </row>
    <row r="42" ht="15.75" customHeight="1">
      <c r="A42" s="4"/>
      <c r="B42" s="4"/>
      <c r="C42" s="4"/>
      <c r="D42" s="4"/>
      <c r="E42" s="4"/>
      <c r="F42" s="4"/>
      <c r="G42" s="4"/>
      <c r="H42" s="4"/>
      <c r="K42" s="30"/>
      <c r="L42" s="30"/>
    </row>
    <row r="43" ht="15.75" customHeight="1">
      <c r="A43" s="4"/>
      <c r="B43" s="4"/>
      <c r="C43" s="4"/>
      <c r="D43" s="4"/>
      <c r="E43" s="4"/>
      <c r="F43" s="4"/>
      <c r="G43" s="4"/>
      <c r="H43" s="4"/>
      <c r="K43" s="30"/>
      <c r="L43" s="30"/>
    </row>
    <row r="44" ht="15.75" customHeight="1">
      <c r="A44" s="4"/>
      <c r="B44" s="4"/>
      <c r="C44" s="4"/>
      <c r="D44" s="4"/>
      <c r="E44" s="4"/>
      <c r="F44" s="4"/>
      <c r="G44" s="4"/>
      <c r="H44" s="4"/>
      <c r="K44" s="30"/>
      <c r="L44" s="30"/>
    </row>
    <row r="45" ht="15.75" customHeight="1">
      <c r="A45" s="4"/>
      <c r="B45" s="4"/>
      <c r="C45" s="4"/>
      <c r="D45" s="4"/>
      <c r="E45" s="4"/>
      <c r="F45" s="4"/>
      <c r="G45" s="4"/>
      <c r="H45" s="4"/>
      <c r="K45" s="30"/>
      <c r="L45" s="30"/>
    </row>
    <row r="46" ht="15.75" customHeight="1">
      <c r="A46" s="4"/>
      <c r="B46" s="4"/>
      <c r="C46" s="4"/>
      <c r="D46" s="4"/>
      <c r="E46" s="4"/>
      <c r="F46" s="4"/>
      <c r="G46" s="4"/>
      <c r="H46" s="4"/>
      <c r="K46" s="30"/>
      <c r="L46" s="30"/>
    </row>
    <row r="47" ht="15.75" customHeight="1">
      <c r="A47" s="4"/>
      <c r="B47" s="4"/>
      <c r="C47" s="4"/>
      <c r="D47" s="4"/>
      <c r="E47" s="4"/>
      <c r="F47" s="4"/>
      <c r="G47" s="4"/>
      <c r="H47" s="4"/>
      <c r="K47" s="30"/>
      <c r="L47" s="30"/>
    </row>
    <row r="48" ht="15.75" customHeight="1">
      <c r="A48" s="4"/>
      <c r="B48" s="4"/>
      <c r="C48" s="4"/>
      <c r="D48" s="4"/>
      <c r="E48" s="4"/>
      <c r="F48" s="4"/>
      <c r="G48" s="4"/>
      <c r="H48" s="4"/>
      <c r="K48" s="30"/>
      <c r="L48" s="30"/>
    </row>
    <row r="49" ht="15.75" customHeight="1">
      <c r="A49" s="4"/>
      <c r="B49" s="4"/>
      <c r="C49" s="4"/>
      <c r="D49" s="4"/>
      <c r="E49" s="4"/>
      <c r="F49" s="4"/>
      <c r="G49" s="4"/>
      <c r="H49" s="4"/>
      <c r="K49" s="30"/>
      <c r="L49" s="30"/>
    </row>
    <row r="50" ht="15.75" customHeight="1">
      <c r="A50" s="4"/>
      <c r="B50" s="4"/>
      <c r="C50" s="4"/>
      <c r="D50" s="4"/>
      <c r="E50" s="4"/>
      <c r="F50" s="4"/>
      <c r="G50" s="4"/>
      <c r="H50" s="4"/>
      <c r="K50" s="30"/>
      <c r="L50" s="30"/>
    </row>
    <row r="51" ht="15.75" customHeight="1">
      <c r="A51" s="4"/>
      <c r="B51" s="4"/>
      <c r="C51" s="4"/>
      <c r="D51" s="4"/>
      <c r="E51" s="4"/>
      <c r="F51" s="4"/>
      <c r="G51" s="4"/>
      <c r="H51" s="4"/>
      <c r="K51" s="30"/>
      <c r="L51" s="30"/>
    </row>
    <row r="52" ht="15.75" customHeight="1">
      <c r="A52" s="4"/>
      <c r="B52" s="4"/>
      <c r="C52" s="4"/>
      <c r="D52" s="4"/>
      <c r="E52" s="4"/>
      <c r="F52" s="4"/>
      <c r="G52" s="4"/>
      <c r="H52" s="4"/>
      <c r="K52" s="30"/>
      <c r="L52" s="30"/>
    </row>
    <row r="53" ht="15.75" customHeight="1">
      <c r="A53" s="4"/>
      <c r="B53" s="4"/>
      <c r="C53" s="4"/>
      <c r="D53" s="4"/>
      <c r="E53" s="4"/>
      <c r="F53" s="4"/>
      <c r="G53" s="4"/>
      <c r="H53" s="4"/>
      <c r="K53" s="30"/>
      <c r="L53" s="30"/>
    </row>
    <row r="54" ht="15.75" customHeight="1">
      <c r="A54" s="4"/>
      <c r="B54" s="4"/>
      <c r="C54" s="4"/>
      <c r="D54" s="4"/>
      <c r="E54" s="4"/>
      <c r="F54" s="4"/>
      <c r="G54" s="4"/>
      <c r="H54" s="4"/>
      <c r="K54" s="30"/>
      <c r="L54" s="30"/>
    </row>
    <row r="55" ht="15.75" customHeight="1">
      <c r="A55" s="4"/>
      <c r="B55" s="4"/>
      <c r="C55" s="4"/>
      <c r="D55" s="4"/>
      <c r="E55" s="4"/>
      <c r="F55" s="4"/>
      <c r="G55" s="4"/>
      <c r="H55" s="4"/>
      <c r="K55" s="30"/>
      <c r="L55" s="30"/>
    </row>
    <row r="56" ht="15.75" customHeight="1">
      <c r="A56" s="4"/>
      <c r="B56" s="4"/>
      <c r="C56" s="4"/>
      <c r="D56" s="4"/>
      <c r="E56" s="4"/>
      <c r="F56" s="4"/>
      <c r="G56" s="4"/>
      <c r="H56" s="4"/>
      <c r="K56" s="30"/>
      <c r="L56" s="30"/>
    </row>
    <row r="57" ht="15.75" customHeight="1">
      <c r="A57" s="4"/>
      <c r="B57" s="4"/>
      <c r="C57" s="4"/>
      <c r="D57" s="4"/>
      <c r="E57" s="4"/>
      <c r="F57" s="4"/>
      <c r="G57" s="4"/>
      <c r="H57" s="4"/>
      <c r="K57" s="30"/>
      <c r="L57" s="30"/>
    </row>
    <row r="58" ht="15.75" customHeight="1">
      <c r="A58" s="4"/>
      <c r="B58" s="4"/>
      <c r="C58" s="4"/>
      <c r="D58" s="4"/>
      <c r="E58" s="4"/>
      <c r="F58" s="4"/>
      <c r="G58" s="4"/>
      <c r="H58" s="4"/>
      <c r="K58" s="30"/>
      <c r="L58" s="30"/>
    </row>
    <row r="59" ht="15.75" customHeight="1">
      <c r="A59" s="4"/>
      <c r="B59" s="4"/>
      <c r="C59" s="4"/>
      <c r="D59" s="4"/>
      <c r="E59" s="4"/>
      <c r="F59" s="4"/>
      <c r="G59" s="4"/>
      <c r="H59" s="4"/>
      <c r="K59" s="30"/>
      <c r="L59" s="30"/>
    </row>
    <row r="60" ht="15.75" customHeight="1">
      <c r="A60" s="4"/>
      <c r="B60" s="4"/>
      <c r="C60" s="4"/>
      <c r="D60" s="4"/>
      <c r="E60" s="4"/>
      <c r="F60" s="4"/>
      <c r="G60" s="4"/>
      <c r="H60" s="4"/>
      <c r="K60" s="30"/>
      <c r="L60" s="30"/>
    </row>
    <row r="61" ht="15.75" customHeight="1">
      <c r="A61" s="4"/>
      <c r="B61" s="4"/>
      <c r="C61" s="4"/>
      <c r="D61" s="4"/>
      <c r="E61" s="4"/>
      <c r="F61" s="4"/>
      <c r="G61" s="4"/>
      <c r="H61" s="4"/>
      <c r="K61" s="30"/>
      <c r="L61" s="30"/>
    </row>
    <row r="62" ht="15.75" customHeight="1">
      <c r="A62" s="4"/>
      <c r="B62" s="4"/>
      <c r="C62" s="4"/>
      <c r="D62" s="4"/>
      <c r="E62" s="4"/>
      <c r="F62" s="4"/>
      <c r="G62" s="4"/>
      <c r="H62" s="4"/>
      <c r="K62" s="30"/>
      <c r="L62" s="30"/>
    </row>
    <row r="63" ht="15.75" customHeight="1">
      <c r="A63" s="4"/>
      <c r="B63" s="4"/>
      <c r="C63" s="4"/>
      <c r="D63" s="4"/>
      <c r="E63" s="4"/>
      <c r="F63" s="4"/>
      <c r="G63" s="4"/>
      <c r="H63" s="4"/>
      <c r="K63" s="30"/>
      <c r="L63" s="30"/>
    </row>
    <row r="64" ht="15.75" customHeight="1">
      <c r="A64" s="4"/>
      <c r="B64" s="4"/>
      <c r="C64" s="4"/>
      <c r="D64" s="4"/>
      <c r="E64" s="4"/>
      <c r="F64" s="4"/>
      <c r="G64" s="4"/>
      <c r="H64" s="4"/>
      <c r="K64" s="30"/>
      <c r="L64" s="30"/>
    </row>
    <row r="65" ht="15.75" customHeight="1">
      <c r="A65" s="4"/>
      <c r="B65" s="4"/>
      <c r="C65" s="4"/>
      <c r="D65" s="4"/>
      <c r="E65" s="4"/>
      <c r="F65" s="4"/>
      <c r="G65" s="4"/>
      <c r="H65" s="4"/>
      <c r="K65" s="30"/>
      <c r="L65" s="30"/>
    </row>
    <row r="66" ht="15.75" customHeight="1">
      <c r="A66" s="4"/>
      <c r="B66" s="4"/>
      <c r="C66" s="4"/>
      <c r="D66" s="4"/>
      <c r="E66" s="4"/>
      <c r="F66" s="4"/>
      <c r="G66" s="4"/>
      <c r="H66" s="4"/>
      <c r="K66" s="30"/>
      <c r="L66" s="30"/>
    </row>
    <row r="67" ht="15.75" customHeight="1">
      <c r="A67" s="4"/>
      <c r="B67" s="4"/>
      <c r="C67" s="4"/>
      <c r="D67" s="4"/>
      <c r="E67" s="4"/>
      <c r="F67" s="4"/>
      <c r="G67" s="4"/>
      <c r="H67" s="4"/>
      <c r="K67" s="30"/>
      <c r="L67" s="30"/>
    </row>
    <row r="68" ht="15.75" customHeight="1">
      <c r="A68" s="4"/>
      <c r="B68" s="4"/>
      <c r="C68" s="4"/>
      <c r="D68" s="4"/>
      <c r="E68" s="4"/>
      <c r="F68" s="4"/>
      <c r="G68" s="4"/>
      <c r="H68" s="4"/>
      <c r="K68" s="30"/>
      <c r="L68" s="30"/>
    </row>
    <row r="69" ht="15.75" customHeight="1">
      <c r="A69" s="4"/>
      <c r="B69" s="4"/>
      <c r="C69" s="4"/>
      <c r="D69" s="4"/>
      <c r="E69" s="4"/>
      <c r="F69" s="4"/>
      <c r="G69" s="4"/>
      <c r="H69" s="4"/>
      <c r="K69" s="30"/>
      <c r="L69" s="30"/>
    </row>
    <row r="70" ht="15.75" customHeight="1">
      <c r="A70" s="4"/>
      <c r="B70" s="4"/>
      <c r="C70" s="4"/>
      <c r="D70" s="4"/>
      <c r="E70" s="4"/>
      <c r="F70" s="4"/>
      <c r="G70" s="4"/>
      <c r="H70" s="4"/>
      <c r="K70" s="30"/>
      <c r="L70" s="30"/>
    </row>
    <row r="71" ht="15.75" customHeight="1">
      <c r="A71" s="4"/>
      <c r="B71" s="4"/>
      <c r="C71" s="4"/>
      <c r="D71" s="4"/>
      <c r="E71" s="4"/>
      <c r="F71" s="4"/>
      <c r="G71" s="4"/>
      <c r="H71" s="4"/>
      <c r="K71" s="30"/>
      <c r="L71" s="30"/>
    </row>
    <row r="72" ht="15.75" customHeight="1">
      <c r="A72" s="4"/>
      <c r="B72" s="4"/>
      <c r="C72" s="4"/>
      <c r="D72" s="4"/>
      <c r="E72" s="4"/>
      <c r="F72" s="4"/>
      <c r="G72" s="4"/>
      <c r="H72" s="4"/>
      <c r="K72" s="30"/>
      <c r="L72" s="30"/>
    </row>
    <row r="73" ht="15.75" customHeight="1">
      <c r="A73" s="4"/>
      <c r="B73" s="4"/>
      <c r="C73" s="4"/>
      <c r="D73" s="4"/>
      <c r="E73" s="4"/>
      <c r="F73" s="4"/>
      <c r="G73" s="4"/>
      <c r="H73" s="4"/>
      <c r="K73" s="30"/>
      <c r="L73" s="30"/>
    </row>
    <row r="74" ht="15.75" customHeight="1">
      <c r="A74" s="4"/>
      <c r="B74" s="4"/>
      <c r="C74" s="4"/>
      <c r="D74" s="4"/>
      <c r="E74" s="4"/>
      <c r="F74" s="4"/>
      <c r="G74" s="4"/>
      <c r="H74" s="4"/>
      <c r="K74" s="30"/>
      <c r="L74" s="30"/>
    </row>
    <row r="75" ht="15.75" customHeight="1">
      <c r="A75" s="4"/>
      <c r="B75" s="4"/>
      <c r="C75" s="4"/>
      <c r="D75" s="4"/>
      <c r="E75" s="4"/>
      <c r="F75" s="4"/>
      <c r="G75" s="4"/>
      <c r="H75" s="4"/>
      <c r="K75" s="30"/>
      <c r="L75" s="30"/>
    </row>
    <row r="76" ht="15.75" customHeight="1">
      <c r="A76" s="4"/>
      <c r="B76" s="4"/>
      <c r="C76" s="4"/>
      <c r="D76" s="4"/>
      <c r="E76" s="4"/>
      <c r="F76" s="4"/>
      <c r="G76" s="4"/>
      <c r="H76" s="4"/>
      <c r="K76" s="30"/>
      <c r="L76" s="30"/>
    </row>
    <row r="77" ht="15.75" customHeight="1">
      <c r="A77" s="4"/>
      <c r="B77" s="4"/>
      <c r="C77" s="4"/>
      <c r="D77" s="4"/>
      <c r="E77" s="4"/>
      <c r="F77" s="4"/>
      <c r="G77" s="4"/>
      <c r="H77" s="4"/>
      <c r="K77" s="30"/>
      <c r="L77" s="30"/>
    </row>
    <row r="78" ht="15.75" customHeight="1">
      <c r="A78" s="4"/>
      <c r="B78" s="4"/>
      <c r="C78" s="4"/>
      <c r="D78" s="4"/>
      <c r="E78" s="4"/>
      <c r="F78" s="4"/>
      <c r="G78" s="4"/>
      <c r="H78" s="4"/>
      <c r="K78" s="30"/>
      <c r="L78" s="30"/>
    </row>
    <row r="79" ht="15.75" customHeight="1">
      <c r="A79" s="4"/>
      <c r="B79" s="4"/>
      <c r="C79" s="4"/>
      <c r="D79" s="4"/>
      <c r="E79" s="4"/>
      <c r="F79" s="4"/>
      <c r="G79" s="4"/>
      <c r="H79" s="4"/>
      <c r="K79" s="30"/>
      <c r="L79" s="30"/>
    </row>
    <row r="80" ht="15.75" customHeight="1">
      <c r="A80" s="4"/>
      <c r="B80" s="4"/>
      <c r="C80" s="4"/>
      <c r="D80" s="4"/>
      <c r="E80" s="4"/>
      <c r="F80" s="4"/>
      <c r="G80" s="4"/>
      <c r="H80" s="4"/>
      <c r="K80" s="30"/>
      <c r="L80" s="30"/>
    </row>
    <row r="81" ht="15.75" customHeight="1">
      <c r="A81" s="4"/>
      <c r="B81" s="4"/>
      <c r="C81" s="4"/>
      <c r="D81" s="4"/>
      <c r="E81" s="4"/>
      <c r="F81" s="4"/>
      <c r="G81" s="4"/>
      <c r="H81" s="4"/>
      <c r="K81" s="30"/>
      <c r="L81" s="30"/>
    </row>
    <row r="82" ht="15.75" customHeight="1">
      <c r="A82" s="4"/>
      <c r="B82" s="4"/>
      <c r="C82" s="4"/>
      <c r="D82" s="4"/>
      <c r="E82" s="4"/>
      <c r="F82" s="4"/>
      <c r="G82" s="4"/>
      <c r="H82" s="4"/>
      <c r="K82" s="30"/>
      <c r="L82" s="30"/>
    </row>
    <row r="83" ht="15.75" customHeight="1">
      <c r="A83" s="4"/>
      <c r="B83" s="4"/>
      <c r="C83" s="4"/>
      <c r="D83" s="4"/>
      <c r="E83" s="4"/>
      <c r="F83" s="4"/>
      <c r="G83" s="4"/>
      <c r="H83" s="4"/>
      <c r="K83" s="30"/>
      <c r="L83" s="30"/>
    </row>
    <row r="84" ht="15.75" customHeight="1">
      <c r="A84" s="4"/>
      <c r="B84" s="4"/>
      <c r="C84" s="4"/>
      <c r="D84" s="4"/>
      <c r="E84" s="4"/>
      <c r="F84" s="4"/>
      <c r="G84" s="4"/>
      <c r="H84" s="4"/>
      <c r="K84" s="30"/>
      <c r="L84" s="30"/>
    </row>
    <row r="85" ht="15.75" customHeight="1">
      <c r="A85" s="4"/>
      <c r="B85" s="4"/>
      <c r="C85" s="4"/>
      <c r="D85" s="4"/>
      <c r="E85" s="4"/>
      <c r="F85" s="4"/>
      <c r="G85" s="4"/>
      <c r="H85" s="4"/>
      <c r="K85" s="30"/>
      <c r="L85" s="30"/>
    </row>
    <row r="86" ht="15.75" customHeight="1">
      <c r="A86" s="4"/>
      <c r="B86" s="4"/>
      <c r="C86" s="4"/>
      <c r="D86" s="4"/>
      <c r="E86" s="4"/>
      <c r="F86" s="4"/>
      <c r="G86" s="4"/>
      <c r="H86" s="4"/>
      <c r="K86" s="30"/>
      <c r="L86" s="30"/>
    </row>
    <row r="87" ht="15.75" customHeight="1">
      <c r="A87" s="4"/>
      <c r="B87" s="4"/>
      <c r="C87" s="4"/>
      <c r="D87" s="4"/>
      <c r="E87" s="4"/>
      <c r="F87" s="4"/>
      <c r="G87" s="4"/>
      <c r="H87" s="4"/>
      <c r="K87" s="30"/>
      <c r="L87" s="30"/>
    </row>
    <row r="88" ht="15.75" customHeight="1">
      <c r="A88" s="4"/>
      <c r="B88" s="4"/>
      <c r="C88" s="4"/>
      <c r="D88" s="4"/>
      <c r="E88" s="4"/>
      <c r="F88" s="4"/>
      <c r="G88" s="4"/>
      <c r="H88" s="4"/>
      <c r="K88" s="30"/>
      <c r="L88" s="30"/>
    </row>
    <row r="89" ht="15.75" customHeight="1">
      <c r="A89" s="4"/>
      <c r="B89" s="4"/>
      <c r="C89" s="4"/>
      <c r="D89" s="4"/>
      <c r="E89" s="4"/>
      <c r="F89" s="4"/>
      <c r="G89" s="4"/>
      <c r="H89" s="4"/>
      <c r="K89" s="30"/>
      <c r="L89" s="30"/>
    </row>
    <row r="90" ht="15.75" customHeight="1">
      <c r="A90" s="4"/>
      <c r="B90" s="4"/>
      <c r="C90" s="4"/>
      <c r="D90" s="4"/>
      <c r="E90" s="4"/>
      <c r="F90" s="4"/>
      <c r="G90" s="4"/>
      <c r="H90" s="4"/>
      <c r="K90" s="30"/>
      <c r="L90" s="30"/>
    </row>
    <row r="91" ht="15.75" customHeight="1">
      <c r="A91" s="4"/>
      <c r="B91" s="4"/>
      <c r="C91" s="4"/>
      <c r="D91" s="4"/>
      <c r="E91" s="4"/>
      <c r="F91" s="4"/>
      <c r="G91" s="4"/>
      <c r="H91" s="4"/>
      <c r="K91" s="30"/>
      <c r="L91" s="30"/>
    </row>
    <row r="92" ht="15.75" customHeight="1">
      <c r="A92" s="4"/>
      <c r="B92" s="4"/>
      <c r="C92" s="4"/>
      <c r="D92" s="4"/>
      <c r="E92" s="4"/>
      <c r="F92" s="4"/>
      <c r="G92" s="4"/>
      <c r="H92" s="4"/>
      <c r="K92" s="30"/>
      <c r="L92" s="30"/>
    </row>
    <row r="93" ht="15.75" customHeight="1">
      <c r="A93" s="4"/>
      <c r="B93" s="4"/>
      <c r="C93" s="4"/>
      <c r="D93" s="4"/>
      <c r="E93" s="4"/>
      <c r="F93" s="4"/>
      <c r="G93" s="4"/>
      <c r="H93" s="4"/>
      <c r="K93" s="30"/>
      <c r="L93" s="30"/>
    </row>
    <row r="94" ht="15.75" customHeight="1">
      <c r="A94" s="4"/>
      <c r="B94" s="4"/>
      <c r="C94" s="4"/>
      <c r="D94" s="4"/>
      <c r="E94" s="4"/>
      <c r="F94" s="4"/>
      <c r="G94" s="4"/>
      <c r="H94" s="4"/>
      <c r="K94" s="30"/>
      <c r="L94" s="30"/>
    </row>
    <row r="95" ht="15.75" customHeight="1">
      <c r="A95" s="4"/>
      <c r="B95" s="4"/>
      <c r="C95" s="4"/>
      <c r="D95" s="4"/>
      <c r="E95" s="4"/>
      <c r="F95" s="4"/>
      <c r="G95" s="4"/>
      <c r="H95" s="4"/>
      <c r="K95" s="30"/>
      <c r="L95" s="30"/>
    </row>
    <row r="96" ht="15.75" customHeight="1">
      <c r="A96" s="4"/>
      <c r="B96" s="4"/>
      <c r="C96" s="4"/>
      <c r="D96" s="4"/>
      <c r="E96" s="4"/>
      <c r="F96" s="4"/>
      <c r="G96" s="4"/>
      <c r="H96" s="4"/>
      <c r="K96" s="30"/>
      <c r="L96" s="30"/>
    </row>
    <row r="97" ht="15.75" customHeight="1">
      <c r="A97" s="4"/>
      <c r="B97" s="4"/>
      <c r="C97" s="4"/>
      <c r="D97" s="4"/>
      <c r="E97" s="4"/>
      <c r="F97" s="4"/>
      <c r="G97" s="4"/>
      <c r="H97" s="4"/>
      <c r="K97" s="30"/>
      <c r="L97" s="30"/>
    </row>
    <row r="98" ht="15.75" customHeight="1">
      <c r="A98" s="4"/>
      <c r="B98" s="4"/>
      <c r="C98" s="4"/>
      <c r="D98" s="4"/>
      <c r="E98" s="4"/>
      <c r="F98" s="4"/>
      <c r="G98" s="4"/>
      <c r="H98" s="4"/>
      <c r="K98" s="30"/>
      <c r="L98" s="30"/>
    </row>
    <row r="99" ht="15.75" customHeight="1">
      <c r="A99" s="4"/>
      <c r="B99" s="4"/>
      <c r="C99" s="4"/>
      <c r="D99" s="4"/>
      <c r="E99" s="4"/>
      <c r="F99" s="4"/>
      <c r="G99" s="4"/>
      <c r="H99" s="4"/>
      <c r="K99" s="30"/>
      <c r="L99" s="30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K100" s="30"/>
      <c r="L100" s="30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K101" s="30"/>
      <c r="L101" s="30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K102" s="30"/>
      <c r="L102" s="30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K103" s="30"/>
      <c r="L103" s="30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K104" s="30"/>
      <c r="L104" s="30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K105" s="30"/>
      <c r="L105" s="30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K106" s="30"/>
      <c r="L106" s="30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K107" s="30"/>
      <c r="L107" s="30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K108" s="30"/>
      <c r="L108" s="30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K109" s="30"/>
      <c r="L109" s="30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K110" s="30"/>
      <c r="L110" s="30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K111" s="30"/>
      <c r="L111" s="30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K112" s="30"/>
      <c r="L112" s="30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K113" s="30"/>
      <c r="L113" s="30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K114" s="30"/>
      <c r="L114" s="30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K115" s="30"/>
      <c r="L115" s="30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K116" s="30"/>
      <c r="L116" s="30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K117" s="30"/>
      <c r="L117" s="30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K118" s="30"/>
      <c r="L118" s="30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K119" s="30"/>
      <c r="L119" s="30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K120" s="30"/>
      <c r="L120" s="30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K121" s="30"/>
      <c r="L121" s="30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K122" s="30"/>
      <c r="L122" s="30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K123" s="30"/>
      <c r="L123" s="30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K124" s="30"/>
      <c r="L124" s="30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K125" s="30"/>
      <c r="L125" s="30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K126" s="30"/>
      <c r="L126" s="30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K127" s="30"/>
      <c r="L127" s="30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K128" s="30"/>
      <c r="L128" s="30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K129" s="30"/>
      <c r="L129" s="30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K130" s="30"/>
      <c r="L130" s="30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K131" s="30"/>
      <c r="L131" s="30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K132" s="30"/>
      <c r="L132" s="30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K133" s="30"/>
      <c r="L133" s="30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K134" s="30"/>
      <c r="L134" s="30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K135" s="30"/>
      <c r="L135" s="30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K136" s="30"/>
      <c r="L136" s="30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K137" s="30"/>
      <c r="L137" s="30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K138" s="30"/>
      <c r="L138" s="30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K139" s="30"/>
      <c r="L139" s="30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K140" s="30"/>
      <c r="L140" s="30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K141" s="30"/>
      <c r="L141" s="30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K142" s="30"/>
      <c r="L142" s="30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K143" s="30"/>
      <c r="L143" s="30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K144" s="30"/>
      <c r="L144" s="30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K145" s="30"/>
      <c r="L145" s="30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K146" s="30"/>
      <c r="L146" s="30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K147" s="30"/>
      <c r="L147" s="30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K148" s="30"/>
      <c r="L148" s="30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K149" s="30"/>
      <c r="L149" s="30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K150" s="30"/>
      <c r="L150" s="30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K151" s="30"/>
      <c r="L151" s="30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K152" s="30"/>
      <c r="L152" s="30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K153" s="30"/>
      <c r="L153" s="30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K154" s="30"/>
      <c r="L154" s="30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K155" s="30"/>
      <c r="L155" s="30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K156" s="30"/>
      <c r="L156" s="30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K157" s="30"/>
      <c r="L157" s="30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K158" s="30"/>
      <c r="L158" s="30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K159" s="30"/>
      <c r="L159" s="30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K160" s="30"/>
      <c r="L160" s="30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K161" s="30"/>
      <c r="L161" s="30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K162" s="30"/>
      <c r="L162" s="30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K163" s="30"/>
      <c r="L163" s="30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K164" s="30"/>
      <c r="L164" s="30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K165" s="30"/>
      <c r="L165" s="30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K166" s="30"/>
      <c r="L166" s="30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K167" s="30"/>
      <c r="L167" s="30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K168" s="30"/>
      <c r="L168" s="30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K169" s="30"/>
      <c r="L169" s="30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K170" s="30"/>
      <c r="L170" s="30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K171" s="30"/>
      <c r="L171" s="30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K172" s="30"/>
      <c r="L172" s="30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K173" s="30"/>
      <c r="L173" s="30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K174" s="30"/>
      <c r="L174" s="30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K175" s="30"/>
      <c r="L175" s="30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K176" s="30"/>
      <c r="L176" s="30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K177" s="30"/>
      <c r="L177" s="30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K178" s="30"/>
      <c r="L178" s="30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K179" s="30"/>
      <c r="L179" s="30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K180" s="30"/>
      <c r="L180" s="30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K181" s="30"/>
      <c r="L181" s="30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K182" s="30"/>
      <c r="L182" s="30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K183" s="30"/>
      <c r="L183" s="30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K184" s="30"/>
      <c r="L184" s="30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K185" s="30"/>
      <c r="L185" s="30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K186" s="30"/>
      <c r="L186" s="30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K187" s="30"/>
      <c r="L187" s="30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K188" s="30"/>
      <c r="L188" s="30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K189" s="30"/>
      <c r="L189" s="30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K190" s="30"/>
      <c r="L190" s="30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K191" s="30"/>
      <c r="L191" s="30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K192" s="30"/>
      <c r="L192" s="30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K193" s="30"/>
      <c r="L193" s="30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K194" s="30"/>
      <c r="L194" s="30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K195" s="30"/>
      <c r="L195" s="30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K196" s="30"/>
      <c r="L196" s="30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K197" s="30"/>
      <c r="L197" s="30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K198" s="30"/>
      <c r="L198" s="30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K199" s="30"/>
      <c r="L199" s="30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K200" s="30"/>
      <c r="L200" s="30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K201" s="30"/>
      <c r="L201" s="30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K202" s="30"/>
      <c r="L202" s="30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K203" s="30"/>
      <c r="L203" s="30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K204" s="30"/>
      <c r="L204" s="30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K205" s="30"/>
      <c r="L205" s="30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K206" s="30"/>
      <c r="L206" s="30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K207" s="30"/>
      <c r="L207" s="30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K208" s="30"/>
      <c r="L208" s="30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K209" s="30"/>
      <c r="L209" s="30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K210" s="30"/>
      <c r="L210" s="30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K211" s="30"/>
      <c r="L211" s="30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K212" s="30"/>
      <c r="L212" s="30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K213" s="30"/>
      <c r="L213" s="30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K214" s="30"/>
      <c r="L214" s="30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K215" s="30"/>
      <c r="L215" s="30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K216" s="30"/>
      <c r="L216" s="30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K217" s="30"/>
      <c r="L217" s="30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K218" s="30"/>
      <c r="L218" s="30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K219" s="30"/>
      <c r="L219" s="30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K220" s="30"/>
      <c r="L220" s="30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K221" s="30"/>
      <c r="L221" s="30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K222" s="30"/>
      <c r="L222" s="30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K223" s="30"/>
      <c r="L223" s="30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K224" s="30"/>
      <c r="L224" s="30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K225" s="30"/>
      <c r="L225" s="30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K226" s="30"/>
      <c r="L226" s="30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K227" s="30"/>
      <c r="L227" s="30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K228" s="30"/>
      <c r="L228" s="30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K229" s="30"/>
      <c r="L229" s="30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K230" s="30"/>
      <c r="L230" s="30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K231" s="30"/>
      <c r="L231" s="30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K232" s="30"/>
      <c r="L232" s="30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K233" s="30"/>
      <c r="L233" s="30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K234" s="30"/>
      <c r="L234" s="30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K235" s="30"/>
      <c r="L235" s="30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K236" s="30"/>
      <c r="L236" s="30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K237" s="30"/>
      <c r="L237" s="30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K238" s="30"/>
      <c r="L238" s="30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K239" s="30"/>
      <c r="L239" s="30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K240" s="30"/>
      <c r="L240" s="30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K241" s="30"/>
      <c r="L241" s="30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K242" s="30"/>
      <c r="L242" s="30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K243" s="30"/>
      <c r="L243" s="30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K244" s="30"/>
      <c r="L244" s="30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K245" s="30"/>
      <c r="L245" s="30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K246" s="30"/>
      <c r="L246" s="30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K247" s="30"/>
      <c r="L247" s="30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K248" s="30"/>
      <c r="L248" s="30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K249" s="30"/>
      <c r="L249" s="30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K250" s="30"/>
      <c r="L250" s="30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K251" s="30"/>
      <c r="L251" s="30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K252" s="30"/>
      <c r="L252" s="30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K253" s="30"/>
      <c r="L253" s="30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K254" s="30"/>
      <c r="L254" s="30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K255" s="30"/>
      <c r="L255" s="30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K256" s="30"/>
      <c r="L256" s="30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K257" s="30"/>
      <c r="L257" s="30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K258" s="30"/>
      <c r="L258" s="30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K259" s="30"/>
      <c r="L259" s="30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K260" s="30"/>
      <c r="L260" s="30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K261" s="30"/>
      <c r="L261" s="30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K262" s="30"/>
      <c r="L262" s="30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K263" s="30"/>
      <c r="L263" s="30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K264" s="30"/>
      <c r="L264" s="30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K265" s="30"/>
      <c r="L265" s="30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K266" s="30"/>
      <c r="L266" s="30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K267" s="30"/>
      <c r="L267" s="30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K268" s="30"/>
      <c r="L268" s="30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K269" s="30"/>
      <c r="L269" s="30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K270" s="30"/>
      <c r="L270" s="30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K271" s="30"/>
      <c r="L271" s="30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K272" s="30"/>
      <c r="L272" s="30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K273" s="30"/>
      <c r="L273" s="30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K274" s="30"/>
      <c r="L274" s="30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K275" s="30"/>
      <c r="L275" s="30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K276" s="30"/>
      <c r="L276" s="30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K277" s="30"/>
      <c r="L277" s="30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K278" s="30"/>
      <c r="L278" s="30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K279" s="30"/>
      <c r="L279" s="30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K280" s="30"/>
      <c r="L280" s="30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K281" s="30"/>
      <c r="L281" s="30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K282" s="30"/>
      <c r="L282" s="30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K283" s="30"/>
      <c r="L283" s="30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K284" s="30"/>
      <c r="L284" s="30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K285" s="30"/>
      <c r="L285" s="30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K286" s="30"/>
      <c r="L286" s="30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K287" s="30"/>
      <c r="L287" s="30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K288" s="30"/>
      <c r="L288" s="30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K289" s="30"/>
      <c r="L289" s="30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K290" s="30"/>
      <c r="L290" s="30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K291" s="30"/>
      <c r="L291" s="30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K292" s="30"/>
      <c r="L292" s="30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K293" s="30"/>
      <c r="L293" s="30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K294" s="30"/>
      <c r="L294" s="30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K295" s="30"/>
      <c r="L295" s="30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K296" s="30"/>
      <c r="L296" s="30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K297" s="30"/>
      <c r="L297" s="30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K298" s="30"/>
      <c r="L298" s="30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K299" s="30"/>
      <c r="L299" s="30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K300" s="30"/>
      <c r="L300" s="30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K301" s="30"/>
      <c r="L301" s="30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K302" s="30"/>
      <c r="L302" s="30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K303" s="30"/>
      <c r="L303" s="30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K304" s="30"/>
      <c r="L304" s="30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K305" s="30"/>
      <c r="L305" s="30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K306" s="30"/>
      <c r="L306" s="30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K307" s="30"/>
      <c r="L307" s="30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K308" s="30"/>
      <c r="L308" s="30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K309" s="30"/>
      <c r="L309" s="30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K310" s="30"/>
      <c r="L310" s="30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K311" s="30"/>
      <c r="L311" s="30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K312" s="30"/>
      <c r="L312" s="30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K313" s="30"/>
      <c r="L313" s="30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K314" s="30"/>
      <c r="L314" s="30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K315" s="30"/>
      <c r="L315" s="30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K316" s="30"/>
      <c r="L316" s="30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K317" s="30"/>
      <c r="L317" s="30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K318" s="30"/>
      <c r="L318" s="30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K319" s="30"/>
      <c r="L319" s="30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K320" s="30"/>
      <c r="L320" s="30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K321" s="30"/>
      <c r="L321" s="30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K322" s="30"/>
      <c r="L322" s="30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K323" s="30"/>
      <c r="L323" s="30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K324" s="30"/>
      <c r="L324" s="30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K325" s="30"/>
      <c r="L325" s="30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K326" s="30"/>
      <c r="L326" s="30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K327" s="30"/>
      <c r="L327" s="30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K328" s="30"/>
      <c r="L328" s="30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K329" s="30"/>
      <c r="L329" s="30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K330" s="30"/>
      <c r="L330" s="30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K331" s="30"/>
      <c r="L331" s="30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K332" s="30"/>
      <c r="L332" s="30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K333" s="30"/>
      <c r="L333" s="30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K334" s="30"/>
      <c r="L334" s="30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K335" s="30"/>
      <c r="L335" s="30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K336" s="30"/>
      <c r="L336" s="30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K337" s="30"/>
      <c r="L337" s="30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K338" s="30"/>
      <c r="L338" s="30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K339" s="30"/>
      <c r="L339" s="30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K340" s="30"/>
      <c r="L340" s="30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K341" s="30"/>
      <c r="L341" s="30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K342" s="30"/>
      <c r="L342" s="30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K343" s="30"/>
      <c r="L343" s="30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K344" s="30"/>
      <c r="L344" s="30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K345" s="30"/>
      <c r="L345" s="30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K346" s="30"/>
      <c r="L346" s="30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K347" s="30"/>
      <c r="L347" s="30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K348" s="30"/>
      <c r="L348" s="30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K349" s="30"/>
      <c r="L349" s="30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K350" s="30"/>
      <c r="L350" s="30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K351" s="30"/>
      <c r="L351" s="30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K352" s="30"/>
      <c r="L352" s="30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K353" s="30"/>
      <c r="L353" s="30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K354" s="30"/>
      <c r="L354" s="30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K355" s="30"/>
      <c r="L355" s="30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K356" s="30"/>
      <c r="L356" s="30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K357" s="30"/>
      <c r="L357" s="30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K358" s="30"/>
      <c r="L358" s="30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K359" s="30"/>
      <c r="L359" s="30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K360" s="30"/>
      <c r="L360" s="30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K361" s="30"/>
      <c r="L361" s="30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K362" s="30"/>
      <c r="L362" s="30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K363" s="30"/>
      <c r="L363" s="30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K364" s="30"/>
      <c r="L364" s="30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K365" s="30"/>
      <c r="L365" s="30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K366" s="30"/>
      <c r="L366" s="30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K367" s="30"/>
      <c r="L367" s="30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K368" s="30"/>
      <c r="L368" s="30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K369" s="30"/>
      <c r="L369" s="30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K370" s="30"/>
      <c r="L370" s="30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K371" s="30"/>
      <c r="L371" s="30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K372" s="30"/>
      <c r="L372" s="30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K373" s="30"/>
      <c r="L373" s="30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K374" s="30"/>
      <c r="L374" s="30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K375" s="30"/>
      <c r="L375" s="30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K376" s="30"/>
      <c r="L376" s="30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K377" s="30"/>
      <c r="L377" s="30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K378" s="30"/>
      <c r="L378" s="30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K379" s="30"/>
      <c r="L379" s="30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K380" s="30"/>
      <c r="L380" s="30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K381" s="30"/>
      <c r="L381" s="30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K382" s="30"/>
      <c r="L382" s="30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K383" s="30"/>
      <c r="L383" s="30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K384" s="30"/>
      <c r="L384" s="30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K385" s="30"/>
      <c r="L385" s="30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K386" s="30"/>
      <c r="L386" s="30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K387" s="30"/>
      <c r="L387" s="30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K388" s="30"/>
      <c r="L388" s="30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K389" s="30"/>
      <c r="L389" s="30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K390" s="30"/>
      <c r="L390" s="30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K391" s="30"/>
      <c r="L391" s="30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K392" s="30"/>
      <c r="L392" s="30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K393" s="30"/>
      <c r="L393" s="30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K394" s="30"/>
      <c r="L394" s="30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K395" s="30"/>
      <c r="L395" s="30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K396" s="30"/>
      <c r="L396" s="30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K397" s="30"/>
      <c r="L397" s="30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K398" s="30"/>
      <c r="L398" s="30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K399" s="30"/>
      <c r="L399" s="30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K400" s="30"/>
      <c r="L400" s="30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K401" s="30"/>
      <c r="L401" s="30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K402" s="30"/>
      <c r="L402" s="30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K403" s="30"/>
      <c r="L403" s="30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K404" s="30"/>
      <c r="L404" s="30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K405" s="30"/>
      <c r="L405" s="30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K406" s="30"/>
      <c r="L406" s="30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K407" s="30"/>
      <c r="L407" s="30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K408" s="30"/>
      <c r="L408" s="30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K409" s="30"/>
      <c r="L409" s="30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K410" s="30"/>
      <c r="L410" s="30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K411" s="30"/>
      <c r="L411" s="30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K412" s="30"/>
      <c r="L412" s="30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K413" s="30"/>
      <c r="L413" s="30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K414" s="30"/>
      <c r="L414" s="30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K415" s="30"/>
      <c r="L415" s="30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K416" s="30"/>
      <c r="L416" s="30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K417" s="30"/>
      <c r="L417" s="30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K418" s="30"/>
      <c r="L418" s="30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K419" s="30"/>
      <c r="L419" s="30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K420" s="30"/>
      <c r="L420" s="30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K421" s="30"/>
      <c r="L421" s="30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K422" s="30"/>
      <c r="L422" s="30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K423" s="30"/>
      <c r="L423" s="30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K424" s="30"/>
      <c r="L424" s="30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K425" s="30"/>
      <c r="L425" s="30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K426" s="30"/>
      <c r="L426" s="30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K427" s="30"/>
      <c r="L427" s="30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K428" s="30"/>
      <c r="L428" s="30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K429" s="30"/>
      <c r="L429" s="30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K430" s="30"/>
      <c r="L430" s="30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K431" s="30"/>
      <c r="L431" s="30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K432" s="30"/>
      <c r="L432" s="30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K433" s="30"/>
      <c r="L433" s="30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K434" s="30"/>
      <c r="L434" s="30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K435" s="30"/>
      <c r="L435" s="30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K436" s="30"/>
      <c r="L436" s="30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K437" s="30"/>
      <c r="L437" s="30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K438" s="30"/>
      <c r="L438" s="30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K439" s="30"/>
      <c r="L439" s="30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K440" s="30"/>
      <c r="L440" s="30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K441" s="30"/>
      <c r="L441" s="30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K442" s="30"/>
      <c r="L442" s="30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K443" s="30"/>
      <c r="L443" s="30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K444" s="30"/>
      <c r="L444" s="30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K445" s="30"/>
      <c r="L445" s="30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K446" s="30"/>
      <c r="L446" s="30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K447" s="30"/>
      <c r="L447" s="30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K448" s="30"/>
      <c r="L448" s="30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K449" s="30"/>
      <c r="L449" s="30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K450" s="30"/>
      <c r="L450" s="30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K451" s="30"/>
      <c r="L451" s="30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K452" s="30"/>
      <c r="L452" s="30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K453" s="30"/>
      <c r="L453" s="30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K454" s="30"/>
      <c r="L454" s="30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K455" s="30"/>
      <c r="L455" s="30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K456" s="30"/>
      <c r="L456" s="30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K457" s="30"/>
      <c r="L457" s="30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K458" s="30"/>
      <c r="L458" s="30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K459" s="30"/>
      <c r="L459" s="30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K460" s="30"/>
      <c r="L460" s="30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K461" s="30"/>
      <c r="L461" s="30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K462" s="30"/>
      <c r="L462" s="30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K463" s="30"/>
      <c r="L463" s="30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K464" s="30"/>
      <c r="L464" s="30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K465" s="30"/>
      <c r="L465" s="30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K466" s="30"/>
      <c r="L466" s="30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K467" s="30"/>
      <c r="L467" s="30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K468" s="30"/>
      <c r="L468" s="30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K469" s="30"/>
      <c r="L469" s="30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K470" s="30"/>
      <c r="L470" s="30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K471" s="30"/>
      <c r="L471" s="30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K472" s="30"/>
      <c r="L472" s="30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K473" s="30"/>
      <c r="L473" s="30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K474" s="30"/>
      <c r="L474" s="30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K475" s="30"/>
      <c r="L475" s="30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K476" s="30"/>
      <c r="L476" s="30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K477" s="30"/>
      <c r="L477" s="30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K478" s="30"/>
      <c r="L478" s="30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K479" s="30"/>
      <c r="L479" s="30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K480" s="30"/>
      <c r="L480" s="30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K481" s="30"/>
      <c r="L481" s="30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K482" s="30"/>
      <c r="L482" s="30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K483" s="30"/>
      <c r="L483" s="30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K484" s="30"/>
      <c r="L484" s="30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K485" s="30"/>
      <c r="L485" s="30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K486" s="30"/>
      <c r="L486" s="30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K487" s="30"/>
      <c r="L487" s="30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K488" s="30"/>
      <c r="L488" s="30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K489" s="30"/>
      <c r="L489" s="30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K490" s="30"/>
      <c r="L490" s="30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K491" s="30"/>
      <c r="L491" s="30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K492" s="30"/>
      <c r="L492" s="30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K493" s="30"/>
      <c r="L493" s="30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K494" s="30"/>
      <c r="L494" s="30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K495" s="30"/>
      <c r="L495" s="30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K496" s="30"/>
      <c r="L496" s="30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K497" s="30"/>
      <c r="L497" s="30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K498" s="30"/>
      <c r="L498" s="30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K499" s="30"/>
      <c r="L499" s="30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K500" s="30"/>
      <c r="L500" s="30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K501" s="30"/>
      <c r="L501" s="30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K502" s="30"/>
      <c r="L502" s="30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K503" s="30"/>
      <c r="L503" s="30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K504" s="30"/>
      <c r="L504" s="30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K505" s="30"/>
      <c r="L505" s="30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K506" s="30"/>
      <c r="L506" s="30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K507" s="30"/>
      <c r="L507" s="30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K508" s="30"/>
      <c r="L508" s="30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K509" s="30"/>
      <c r="L509" s="30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K510" s="30"/>
      <c r="L510" s="30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K511" s="30"/>
      <c r="L511" s="30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K512" s="30"/>
      <c r="L512" s="30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K513" s="30"/>
      <c r="L513" s="30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K514" s="30"/>
      <c r="L514" s="30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K515" s="30"/>
      <c r="L515" s="30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K516" s="30"/>
      <c r="L516" s="30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K517" s="30"/>
      <c r="L517" s="30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K518" s="30"/>
      <c r="L518" s="30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K519" s="30"/>
      <c r="L519" s="30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K520" s="30"/>
      <c r="L520" s="30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K521" s="30"/>
      <c r="L521" s="30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K522" s="30"/>
      <c r="L522" s="30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K523" s="30"/>
      <c r="L523" s="30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K524" s="30"/>
      <c r="L524" s="30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K525" s="30"/>
      <c r="L525" s="30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K526" s="30"/>
      <c r="L526" s="30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K527" s="30"/>
      <c r="L527" s="30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K528" s="30"/>
      <c r="L528" s="30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K529" s="30"/>
      <c r="L529" s="30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K530" s="30"/>
      <c r="L530" s="30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K531" s="30"/>
      <c r="L531" s="30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K532" s="30"/>
      <c r="L532" s="30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K533" s="30"/>
      <c r="L533" s="30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K534" s="30"/>
      <c r="L534" s="30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K535" s="30"/>
      <c r="L535" s="30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K536" s="30"/>
      <c r="L536" s="30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K537" s="30"/>
      <c r="L537" s="30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K538" s="30"/>
      <c r="L538" s="30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K539" s="30"/>
      <c r="L539" s="30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K540" s="30"/>
      <c r="L540" s="30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K541" s="30"/>
      <c r="L541" s="30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K542" s="30"/>
      <c r="L542" s="30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K543" s="30"/>
      <c r="L543" s="30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K544" s="30"/>
      <c r="L544" s="30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K545" s="30"/>
      <c r="L545" s="30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K546" s="30"/>
      <c r="L546" s="30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K547" s="30"/>
      <c r="L547" s="30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K548" s="30"/>
      <c r="L548" s="30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K549" s="30"/>
      <c r="L549" s="30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K550" s="30"/>
      <c r="L550" s="30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K551" s="30"/>
      <c r="L551" s="30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K552" s="30"/>
      <c r="L552" s="30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K553" s="30"/>
      <c r="L553" s="30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K554" s="30"/>
      <c r="L554" s="30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K555" s="30"/>
      <c r="L555" s="30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K556" s="30"/>
      <c r="L556" s="30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K557" s="30"/>
      <c r="L557" s="30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K558" s="30"/>
      <c r="L558" s="30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K559" s="30"/>
      <c r="L559" s="30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K560" s="30"/>
      <c r="L560" s="30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K561" s="30"/>
      <c r="L561" s="30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K562" s="30"/>
      <c r="L562" s="30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K563" s="30"/>
      <c r="L563" s="30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K564" s="30"/>
      <c r="L564" s="30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K565" s="30"/>
      <c r="L565" s="30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K566" s="30"/>
      <c r="L566" s="30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K567" s="30"/>
      <c r="L567" s="30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K568" s="30"/>
      <c r="L568" s="30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K569" s="30"/>
      <c r="L569" s="30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K570" s="30"/>
      <c r="L570" s="30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K571" s="30"/>
      <c r="L571" s="30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K572" s="30"/>
      <c r="L572" s="30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K573" s="30"/>
      <c r="L573" s="30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K574" s="30"/>
      <c r="L574" s="30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K575" s="30"/>
      <c r="L575" s="30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K576" s="30"/>
      <c r="L576" s="30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K577" s="30"/>
      <c r="L577" s="30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K578" s="30"/>
      <c r="L578" s="30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K579" s="30"/>
      <c r="L579" s="30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K580" s="30"/>
      <c r="L580" s="30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K581" s="30"/>
      <c r="L581" s="30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K582" s="30"/>
      <c r="L582" s="30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K583" s="30"/>
      <c r="L583" s="30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K584" s="30"/>
      <c r="L584" s="30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K585" s="30"/>
      <c r="L585" s="30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K586" s="30"/>
      <c r="L586" s="30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K587" s="30"/>
      <c r="L587" s="30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K588" s="30"/>
      <c r="L588" s="30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K589" s="30"/>
      <c r="L589" s="30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K590" s="30"/>
      <c r="L590" s="30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K591" s="30"/>
      <c r="L591" s="30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K592" s="30"/>
      <c r="L592" s="30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K593" s="30"/>
      <c r="L593" s="30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K594" s="30"/>
      <c r="L594" s="30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K595" s="30"/>
      <c r="L595" s="30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K596" s="30"/>
      <c r="L596" s="30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K597" s="30"/>
      <c r="L597" s="30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K598" s="30"/>
      <c r="L598" s="30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K599" s="30"/>
      <c r="L599" s="30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K600" s="30"/>
      <c r="L600" s="30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K601" s="30"/>
      <c r="L601" s="30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K602" s="30"/>
      <c r="L602" s="30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K603" s="30"/>
      <c r="L603" s="30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K604" s="30"/>
      <c r="L604" s="30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K605" s="30"/>
      <c r="L605" s="30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K606" s="30"/>
      <c r="L606" s="30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K607" s="30"/>
      <c r="L607" s="30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K608" s="30"/>
      <c r="L608" s="30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K609" s="30"/>
      <c r="L609" s="30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K610" s="30"/>
      <c r="L610" s="30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K611" s="30"/>
      <c r="L611" s="30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K612" s="30"/>
      <c r="L612" s="30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K613" s="30"/>
      <c r="L613" s="30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K614" s="30"/>
      <c r="L614" s="30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K615" s="30"/>
      <c r="L615" s="30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K616" s="30"/>
      <c r="L616" s="30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K617" s="30"/>
      <c r="L617" s="30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K618" s="30"/>
      <c r="L618" s="30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K619" s="30"/>
      <c r="L619" s="30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K620" s="30"/>
      <c r="L620" s="30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K621" s="30"/>
      <c r="L621" s="30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K622" s="30"/>
      <c r="L622" s="30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K623" s="30"/>
      <c r="L623" s="30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K624" s="30"/>
      <c r="L624" s="30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K625" s="30"/>
      <c r="L625" s="30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K626" s="30"/>
      <c r="L626" s="30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K627" s="30"/>
      <c r="L627" s="30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K628" s="30"/>
      <c r="L628" s="30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K629" s="30"/>
      <c r="L629" s="30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K630" s="30"/>
      <c r="L630" s="30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K631" s="30"/>
      <c r="L631" s="30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K632" s="30"/>
      <c r="L632" s="30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K633" s="30"/>
      <c r="L633" s="30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K634" s="30"/>
      <c r="L634" s="30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K635" s="30"/>
      <c r="L635" s="30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K636" s="30"/>
      <c r="L636" s="30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K637" s="30"/>
      <c r="L637" s="30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K638" s="30"/>
      <c r="L638" s="30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K639" s="30"/>
      <c r="L639" s="30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K640" s="30"/>
      <c r="L640" s="30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K641" s="30"/>
      <c r="L641" s="30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K642" s="30"/>
      <c r="L642" s="30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K643" s="30"/>
      <c r="L643" s="30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K644" s="30"/>
      <c r="L644" s="30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K645" s="30"/>
      <c r="L645" s="30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K646" s="30"/>
      <c r="L646" s="30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K647" s="30"/>
      <c r="L647" s="30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K648" s="30"/>
      <c r="L648" s="30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K649" s="30"/>
      <c r="L649" s="30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K650" s="30"/>
      <c r="L650" s="30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K651" s="30"/>
      <c r="L651" s="30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K652" s="30"/>
      <c r="L652" s="30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K653" s="30"/>
      <c r="L653" s="30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K654" s="30"/>
      <c r="L654" s="30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K655" s="30"/>
      <c r="L655" s="30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K656" s="30"/>
      <c r="L656" s="30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K657" s="30"/>
      <c r="L657" s="30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K658" s="30"/>
      <c r="L658" s="30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K659" s="30"/>
      <c r="L659" s="30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K660" s="30"/>
      <c r="L660" s="30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K661" s="30"/>
      <c r="L661" s="30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K662" s="30"/>
      <c r="L662" s="30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K663" s="30"/>
      <c r="L663" s="30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K664" s="30"/>
      <c r="L664" s="30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K665" s="30"/>
      <c r="L665" s="30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K666" s="30"/>
      <c r="L666" s="30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K667" s="30"/>
      <c r="L667" s="30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K668" s="30"/>
      <c r="L668" s="30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K669" s="30"/>
      <c r="L669" s="30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K670" s="30"/>
      <c r="L670" s="30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K671" s="30"/>
      <c r="L671" s="30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K672" s="30"/>
      <c r="L672" s="30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K673" s="30"/>
      <c r="L673" s="30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K674" s="30"/>
      <c r="L674" s="30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K675" s="30"/>
      <c r="L675" s="30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K676" s="30"/>
      <c r="L676" s="30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K677" s="30"/>
      <c r="L677" s="30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K678" s="30"/>
      <c r="L678" s="30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K679" s="30"/>
      <c r="L679" s="30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K680" s="30"/>
      <c r="L680" s="30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K681" s="30"/>
      <c r="L681" s="30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K682" s="30"/>
      <c r="L682" s="30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K683" s="30"/>
      <c r="L683" s="30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K684" s="30"/>
      <c r="L684" s="30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K685" s="30"/>
      <c r="L685" s="30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K686" s="30"/>
      <c r="L686" s="30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K687" s="30"/>
      <c r="L687" s="30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K688" s="30"/>
      <c r="L688" s="30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K689" s="30"/>
      <c r="L689" s="30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K690" s="30"/>
      <c r="L690" s="30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K691" s="30"/>
      <c r="L691" s="30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K692" s="30"/>
      <c r="L692" s="30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K693" s="30"/>
      <c r="L693" s="30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K694" s="30"/>
      <c r="L694" s="30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K695" s="30"/>
      <c r="L695" s="30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K696" s="30"/>
      <c r="L696" s="30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K697" s="30"/>
      <c r="L697" s="30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K698" s="30"/>
      <c r="L698" s="30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K699" s="30"/>
      <c r="L699" s="30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K700" s="30"/>
      <c r="L700" s="30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K701" s="30"/>
      <c r="L701" s="30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K702" s="30"/>
      <c r="L702" s="30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K703" s="30"/>
      <c r="L703" s="30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K704" s="30"/>
      <c r="L704" s="30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K705" s="30"/>
      <c r="L705" s="30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K706" s="30"/>
      <c r="L706" s="30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K707" s="30"/>
      <c r="L707" s="30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K708" s="30"/>
      <c r="L708" s="30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K709" s="30"/>
      <c r="L709" s="30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K710" s="30"/>
      <c r="L710" s="30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K711" s="30"/>
      <c r="L711" s="30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K712" s="30"/>
      <c r="L712" s="30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K713" s="30"/>
      <c r="L713" s="30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K714" s="30"/>
      <c r="L714" s="30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K715" s="30"/>
      <c r="L715" s="30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K716" s="30"/>
      <c r="L716" s="30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K717" s="30"/>
      <c r="L717" s="30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K718" s="30"/>
      <c r="L718" s="30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K719" s="30"/>
      <c r="L719" s="30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K720" s="30"/>
      <c r="L720" s="30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K721" s="30"/>
      <c r="L721" s="30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K722" s="30"/>
      <c r="L722" s="30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K723" s="30"/>
      <c r="L723" s="30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K724" s="30"/>
      <c r="L724" s="30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K725" s="30"/>
      <c r="L725" s="30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K726" s="30"/>
      <c r="L726" s="30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K727" s="30"/>
      <c r="L727" s="30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K728" s="30"/>
      <c r="L728" s="30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K729" s="30"/>
      <c r="L729" s="30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K730" s="30"/>
      <c r="L730" s="30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K731" s="30"/>
      <c r="L731" s="30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K732" s="30"/>
      <c r="L732" s="30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K733" s="30"/>
      <c r="L733" s="30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K734" s="30"/>
      <c r="L734" s="30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K735" s="30"/>
      <c r="L735" s="30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K736" s="30"/>
      <c r="L736" s="30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K737" s="30"/>
      <c r="L737" s="30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K738" s="30"/>
      <c r="L738" s="30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K739" s="30"/>
      <c r="L739" s="30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K740" s="30"/>
      <c r="L740" s="30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K741" s="30"/>
      <c r="L741" s="30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K742" s="30"/>
      <c r="L742" s="30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K743" s="30"/>
      <c r="L743" s="30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K744" s="30"/>
      <c r="L744" s="30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K745" s="30"/>
      <c r="L745" s="30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K746" s="30"/>
      <c r="L746" s="30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K747" s="30"/>
      <c r="L747" s="30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K748" s="30"/>
      <c r="L748" s="30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K749" s="30"/>
      <c r="L749" s="30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K750" s="30"/>
      <c r="L750" s="30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K751" s="30"/>
      <c r="L751" s="30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K752" s="30"/>
      <c r="L752" s="30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K753" s="30"/>
      <c r="L753" s="30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K754" s="30"/>
      <c r="L754" s="30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K755" s="30"/>
      <c r="L755" s="30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K756" s="30"/>
      <c r="L756" s="30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K757" s="30"/>
      <c r="L757" s="30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K758" s="30"/>
      <c r="L758" s="30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K759" s="30"/>
      <c r="L759" s="30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K760" s="30"/>
      <c r="L760" s="30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K761" s="30"/>
      <c r="L761" s="30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K762" s="30"/>
      <c r="L762" s="30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K763" s="30"/>
      <c r="L763" s="30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K764" s="30"/>
      <c r="L764" s="30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K765" s="30"/>
      <c r="L765" s="30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K766" s="30"/>
      <c r="L766" s="30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K767" s="30"/>
      <c r="L767" s="30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K768" s="30"/>
      <c r="L768" s="30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K769" s="30"/>
      <c r="L769" s="30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K770" s="30"/>
      <c r="L770" s="30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K771" s="30"/>
      <c r="L771" s="30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K772" s="30"/>
      <c r="L772" s="30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K773" s="30"/>
      <c r="L773" s="30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K774" s="30"/>
      <c r="L774" s="30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K775" s="30"/>
      <c r="L775" s="30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K776" s="30"/>
      <c r="L776" s="30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K777" s="30"/>
      <c r="L777" s="30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K778" s="30"/>
      <c r="L778" s="30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K779" s="30"/>
      <c r="L779" s="30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K780" s="30"/>
      <c r="L780" s="30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K781" s="30"/>
      <c r="L781" s="30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K782" s="30"/>
      <c r="L782" s="30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K783" s="30"/>
      <c r="L783" s="30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K784" s="30"/>
      <c r="L784" s="30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K785" s="30"/>
      <c r="L785" s="30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K786" s="30"/>
      <c r="L786" s="30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K787" s="30"/>
      <c r="L787" s="30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K788" s="30"/>
      <c r="L788" s="30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K789" s="30"/>
      <c r="L789" s="30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K790" s="30"/>
      <c r="L790" s="30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K791" s="30"/>
      <c r="L791" s="30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K792" s="30"/>
      <c r="L792" s="30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K793" s="30"/>
      <c r="L793" s="30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K794" s="30"/>
      <c r="L794" s="30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K795" s="30"/>
      <c r="L795" s="30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K796" s="30"/>
      <c r="L796" s="30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K797" s="30"/>
      <c r="L797" s="30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K798" s="30"/>
      <c r="L798" s="30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K799" s="30"/>
      <c r="L799" s="30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K800" s="30"/>
      <c r="L800" s="30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K801" s="30"/>
      <c r="L801" s="30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K802" s="30"/>
      <c r="L802" s="30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K803" s="30"/>
      <c r="L803" s="30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K804" s="30"/>
      <c r="L804" s="30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K805" s="30"/>
      <c r="L805" s="30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K806" s="30"/>
      <c r="L806" s="30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K807" s="30"/>
      <c r="L807" s="30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K808" s="30"/>
      <c r="L808" s="30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K809" s="30"/>
      <c r="L809" s="30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K810" s="30"/>
      <c r="L810" s="30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K811" s="30"/>
      <c r="L811" s="30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K812" s="30"/>
      <c r="L812" s="30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K813" s="30"/>
      <c r="L813" s="30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K814" s="30"/>
      <c r="L814" s="30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K815" s="30"/>
      <c r="L815" s="30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K816" s="30"/>
      <c r="L816" s="30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K817" s="30"/>
      <c r="L817" s="30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K818" s="30"/>
      <c r="L818" s="30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K819" s="30"/>
      <c r="L819" s="30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K820" s="30"/>
      <c r="L820" s="30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K821" s="30"/>
      <c r="L821" s="30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K822" s="30"/>
      <c r="L822" s="30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K823" s="30"/>
      <c r="L823" s="30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K824" s="30"/>
      <c r="L824" s="30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K825" s="30"/>
      <c r="L825" s="30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K826" s="30"/>
      <c r="L826" s="30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K827" s="30"/>
      <c r="L827" s="30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K828" s="30"/>
      <c r="L828" s="30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K829" s="30"/>
      <c r="L829" s="30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K830" s="30"/>
      <c r="L830" s="30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K831" s="30"/>
      <c r="L831" s="30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K832" s="30"/>
      <c r="L832" s="30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K833" s="30"/>
      <c r="L833" s="30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K834" s="30"/>
      <c r="L834" s="30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K835" s="30"/>
      <c r="L835" s="30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K836" s="30"/>
      <c r="L836" s="30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K837" s="30"/>
      <c r="L837" s="30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K838" s="30"/>
      <c r="L838" s="30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K839" s="30"/>
      <c r="L839" s="30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K840" s="30"/>
      <c r="L840" s="30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K841" s="30"/>
      <c r="L841" s="30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K842" s="30"/>
      <c r="L842" s="30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K843" s="30"/>
      <c r="L843" s="30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K844" s="30"/>
      <c r="L844" s="30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K845" s="30"/>
      <c r="L845" s="30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K846" s="30"/>
      <c r="L846" s="30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K847" s="30"/>
      <c r="L847" s="30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K848" s="30"/>
      <c r="L848" s="30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K849" s="30"/>
      <c r="L849" s="30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K850" s="30"/>
      <c r="L850" s="30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K851" s="30"/>
      <c r="L851" s="30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K852" s="30"/>
      <c r="L852" s="30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K853" s="30"/>
      <c r="L853" s="30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K854" s="30"/>
      <c r="L854" s="30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K855" s="30"/>
      <c r="L855" s="30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K856" s="30"/>
      <c r="L856" s="30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K857" s="30"/>
      <c r="L857" s="30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K858" s="30"/>
      <c r="L858" s="30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K859" s="30"/>
      <c r="L859" s="30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K860" s="30"/>
      <c r="L860" s="30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K861" s="30"/>
      <c r="L861" s="30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K862" s="30"/>
      <c r="L862" s="30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K863" s="30"/>
      <c r="L863" s="30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K864" s="30"/>
      <c r="L864" s="30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K865" s="30"/>
      <c r="L865" s="30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K866" s="30"/>
      <c r="L866" s="30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K867" s="30"/>
      <c r="L867" s="30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K868" s="30"/>
      <c r="L868" s="30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K869" s="30"/>
      <c r="L869" s="30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K870" s="30"/>
      <c r="L870" s="30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K871" s="30"/>
      <c r="L871" s="30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K872" s="30"/>
      <c r="L872" s="30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K873" s="30"/>
      <c r="L873" s="30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K874" s="30"/>
      <c r="L874" s="30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K875" s="30"/>
      <c r="L875" s="30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K876" s="30"/>
      <c r="L876" s="30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K877" s="30"/>
      <c r="L877" s="30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K878" s="30"/>
      <c r="L878" s="30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K879" s="30"/>
      <c r="L879" s="30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K880" s="30"/>
      <c r="L880" s="30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K881" s="30"/>
      <c r="L881" s="30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K882" s="30"/>
      <c r="L882" s="30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K883" s="30"/>
      <c r="L883" s="30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K884" s="30"/>
      <c r="L884" s="30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K885" s="30"/>
      <c r="L885" s="30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K886" s="30"/>
      <c r="L886" s="30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K887" s="30"/>
      <c r="L887" s="30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K888" s="30"/>
      <c r="L888" s="30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K889" s="30"/>
      <c r="L889" s="30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K890" s="30"/>
      <c r="L890" s="30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K891" s="30"/>
      <c r="L891" s="30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K892" s="30"/>
      <c r="L892" s="30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K893" s="30"/>
      <c r="L893" s="30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K894" s="30"/>
      <c r="L894" s="30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K895" s="30"/>
      <c r="L895" s="30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K896" s="30"/>
      <c r="L896" s="30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K897" s="30"/>
      <c r="L897" s="30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K898" s="30"/>
      <c r="L898" s="30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K899" s="30"/>
      <c r="L899" s="30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K900" s="30"/>
      <c r="L900" s="30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K901" s="30"/>
      <c r="L901" s="30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K902" s="30"/>
      <c r="L902" s="30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K903" s="30"/>
      <c r="L903" s="30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K904" s="30"/>
      <c r="L904" s="30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K905" s="30"/>
      <c r="L905" s="30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K906" s="30"/>
      <c r="L906" s="30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K907" s="30"/>
      <c r="L907" s="30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K908" s="30"/>
      <c r="L908" s="30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K909" s="30"/>
      <c r="L909" s="30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K910" s="30"/>
      <c r="L910" s="30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K911" s="30"/>
      <c r="L911" s="30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K912" s="30"/>
      <c r="L912" s="30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K913" s="30"/>
      <c r="L913" s="30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K914" s="30"/>
      <c r="L914" s="30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K915" s="30"/>
      <c r="L915" s="30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K916" s="30"/>
      <c r="L916" s="30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K917" s="30"/>
      <c r="L917" s="30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K918" s="30"/>
      <c r="L918" s="30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K919" s="30"/>
      <c r="L919" s="30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K920" s="30"/>
      <c r="L920" s="30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K921" s="30"/>
      <c r="L921" s="30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K922" s="30"/>
      <c r="L922" s="30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K923" s="30"/>
      <c r="L923" s="30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K924" s="30"/>
      <c r="L924" s="30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K925" s="30"/>
      <c r="L925" s="30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K926" s="30"/>
      <c r="L926" s="30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K927" s="30"/>
      <c r="L927" s="30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K928" s="30"/>
      <c r="L928" s="30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K929" s="30"/>
      <c r="L929" s="30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K930" s="30"/>
      <c r="L930" s="30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K931" s="30"/>
      <c r="L931" s="30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K932" s="30"/>
      <c r="L932" s="30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K933" s="30"/>
      <c r="L933" s="30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K934" s="30"/>
      <c r="L934" s="30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K935" s="30"/>
      <c r="L935" s="30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K936" s="30"/>
      <c r="L936" s="30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K937" s="30"/>
      <c r="L937" s="30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K938" s="30"/>
      <c r="L938" s="30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K939" s="30"/>
      <c r="L939" s="30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K940" s="30"/>
      <c r="L940" s="30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K941" s="30"/>
      <c r="L941" s="30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K942" s="30"/>
      <c r="L942" s="30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K943" s="30"/>
      <c r="L943" s="30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K944" s="30"/>
      <c r="L944" s="30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K945" s="30"/>
      <c r="L945" s="30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K946" s="30"/>
      <c r="L946" s="30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K947" s="30"/>
      <c r="L947" s="30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K948" s="30"/>
      <c r="L948" s="30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K949" s="30"/>
      <c r="L949" s="30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K950" s="30"/>
      <c r="L950" s="30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K951" s="30"/>
      <c r="L951" s="30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K952" s="30"/>
      <c r="L952" s="30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K953" s="30"/>
      <c r="L953" s="30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K954" s="30"/>
      <c r="L954" s="30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K955" s="30"/>
      <c r="L955" s="30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K956" s="30"/>
      <c r="L956" s="30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K957" s="30"/>
      <c r="L957" s="30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K958" s="30"/>
      <c r="L958" s="30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K959" s="30"/>
      <c r="L959" s="30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K960" s="30"/>
      <c r="L960" s="30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K961" s="30"/>
      <c r="L961" s="30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K962" s="30"/>
      <c r="L962" s="30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K963" s="30"/>
      <c r="L963" s="30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K964" s="30"/>
      <c r="L964" s="30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K965" s="30"/>
      <c r="L965" s="30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K966" s="30"/>
      <c r="L966" s="30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K967" s="30"/>
      <c r="L967" s="30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K968" s="30"/>
      <c r="L968" s="30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K969" s="30"/>
      <c r="L969" s="30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K970" s="30"/>
      <c r="L970" s="30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K971" s="30"/>
      <c r="L971" s="30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K972" s="30"/>
      <c r="L972" s="30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K973" s="30"/>
      <c r="L973" s="30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K974" s="30"/>
      <c r="L974" s="30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K975" s="30"/>
      <c r="L975" s="30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K976" s="30"/>
      <c r="L976" s="30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K977" s="30"/>
      <c r="L977" s="30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K978" s="30"/>
      <c r="L978" s="30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K979" s="30"/>
      <c r="L979" s="30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K980" s="30"/>
      <c r="L980" s="30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K981" s="30"/>
      <c r="L981" s="30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K982" s="30"/>
      <c r="L982" s="30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K983" s="30"/>
      <c r="L983" s="30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K984" s="30"/>
      <c r="L984" s="30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K985" s="30"/>
      <c r="L985" s="30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K986" s="30"/>
      <c r="L986" s="30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K987" s="30"/>
      <c r="L987" s="30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K988" s="30"/>
      <c r="L988" s="30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K989" s="30"/>
      <c r="L989" s="30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K990" s="30"/>
      <c r="L990" s="30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K991" s="30"/>
      <c r="L991" s="30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K992" s="30"/>
      <c r="L992" s="30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K993" s="30"/>
      <c r="L993" s="30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K994" s="30"/>
      <c r="L994" s="30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K995" s="30"/>
      <c r="L995" s="30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K996" s="30"/>
      <c r="L996" s="30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K997" s="30"/>
      <c r="L997" s="30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K998" s="30"/>
      <c r="L998" s="30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K999" s="30"/>
      <c r="L999" s="30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K1000" s="30"/>
      <c r="L1000" s="30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2026-02-16T12:30:42Z</dcterms:created>
  <dc:creator>openpyxl</dc:creator>
</cp:coreProperties>
</file>