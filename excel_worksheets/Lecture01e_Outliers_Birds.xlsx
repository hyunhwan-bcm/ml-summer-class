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0_Data_Overview" sheetId="2" r:id="rId5"/>
    <sheet state="visible" name="Step1_Leverage" sheetId="3" r:id="rId6"/>
    <sheet state="visible" name="Step2_Residuals" sheetId="4" r:id="rId7"/>
    <sheet state="visible" name="Step3_Cooks_Distance" sheetId="5" r:id="rId8"/>
    <sheet state="visible" name="Answer_Key" sheetId="6" r:id="rId9"/>
  </sheets>
  <definedNames/>
  <calcPr/>
  <extLst>
    <ext uri="GoogleSheetsCustomDataVersion2">
      <go:sheetsCustomData xmlns:go="http://customooxmlschemas.google.com/" r:id="rId10" roundtripDataChecksum="q7kftYpIlK2FcmGLCAmKGJfacur8aaG0CM8eJgHSrmE="/>
    </ext>
  </extLst>
</workbook>
</file>

<file path=xl/sharedStrings.xml><?xml version="1.0" encoding="utf-8"?>
<sst xmlns="http://schemas.openxmlformats.org/spreadsheetml/2006/main" count="124" uniqueCount="111">
  <si>
    <t>[Description] Outliers and Influence Diagnostics</t>
  </si>
  <si>
    <t>Outliers and Influence Diagnostics Worksheet</t>
  </si>
  <si>
    <t>Dataset:</t>
  </si>
  <si>
    <t>birds.txt (6 observations selected)</t>
  </si>
  <si>
    <t>X variable:</t>
  </si>
  <si>
    <t>LNSURF (log of lake surface area)</t>
  </si>
  <si>
    <t>Y variable:</t>
  </si>
  <si>
    <t>ABUNDANCE (bird species abundance)</t>
  </si>
  <si>
    <t>Learning Objectives:</t>
  </si>
  <si>
    <t>1. Understand leverage (hᵢᵢ) and its meaning in regression</t>
  </si>
  <si>
    <t>2. Calculate studentized residuals to identify outliers</t>
  </si>
  <si>
    <t>3. Compute Cook's Distance to measure influence</t>
  </si>
  <si>
    <t>4. Distinguish between outliers and influential points</t>
  </si>
  <si>
    <t>Key Formulas:</t>
  </si>
  <si>
    <t>Leverage:</t>
  </si>
  <si>
    <t>hᵢᵢ = 1/n + (xᵢ - x̄)² / SSₓ</t>
  </si>
  <si>
    <t>Studentized Residual:</t>
  </si>
  <si>
    <t>rᵢ = eᵢ / (s × √(1 - hᵢᵢ))</t>
  </si>
  <si>
    <t>Cook's Distance:</t>
  </si>
  <si>
    <t>Dᵢ = eᵢ² × hᵢᵢ / (p × MSE × (1-hᵢᵢ)²)</t>
  </si>
  <si>
    <t>Thresholds:</t>
  </si>
  <si>
    <t xml:space="preserve">  Leverage: hᵢᵢ &gt; 2p/n is high leverage</t>
  </si>
  <si>
    <t xml:space="preserve">  Studentized: |rᵢ| &gt; 2 suggests outlier</t>
  </si>
  <si>
    <t xml:space="preserve">  Cook's: Dᵢ &gt; 1 (or &gt; 4/n) suggests influential</t>
  </si>
  <si>
    <t>Color Guide:</t>
  </si>
  <si>
    <t>Given Data (Input)</t>
  </si>
  <si>
    <t>Intermediate Calculations</t>
  </si>
  <si>
    <t>Your Answer (Enter here)</t>
  </si>
  <si>
    <t>Correct Answer (✓)</t>
  </si>
  <si>
    <t>Incorrect Answer (✗)</t>
  </si>
  <si>
    <t>[Description] Birds Dataset - Selected observations for diagnostics practice</t>
  </si>
  <si>
    <t>Obs</t>
  </si>
  <si>
    <t>X (LNSURF)</t>
  </si>
  <si>
    <t>Y (ABUNDANCE)</t>
  </si>
  <si>
    <t>Summary Statistics</t>
  </si>
  <si>
    <t>Check</t>
  </si>
  <si>
    <t>n</t>
  </si>
  <si>
    <t>x̄ (mean X)</t>
  </si>
  <si>
    <t>ȳ (mean Y)</t>
  </si>
  <si>
    <t>SS_x = Σ(x-x̄)²</t>
  </si>
  <si>
    <t>[Description] STEP 1: Calculate Leverage (h_ii) for each observation</t>
  </si>
  <si>
    <t>Formula: h_ii = 1/n + (x_i - x̄)² / SS_x</t>
  </si>
  <si>
    <t>x_i</t>
  </si>
  <si>
    <t>x_i - x̄</t>
  </si>
  <si>
    <t>(x_i - x̄)²</t>
  </si>
  <si>
    <t>h_ii = 1/n + (x_i-x̄)²/SS_x</t>
  </si>
  <si>
    <t>Note: High leverage points have h_ii &gt; 2(p+1)/n</t>
  </si>
  <si>
    <t xml:space="preserve">   For this data: threshold = 2×2/6 = 0.667</t>
  </si>
  <si>
    <t xml:space="preserve">   Observation 6 (x=7.48) has the highest leverage!</t>
  </si>
  <si>
    <t>[Description] STEP 2: Calculate Residuals and Studentized Residuals</t>
  </si>
  <si>
    <t>Regression: ŷ = β̂₀ + β̂₁x</t>
  </si>
  <si>
    <t>β̂₀ = 11.8071, β̂₁ = 2.9756</t>
  </si>
  <si>
    <t>MSE = 69.0027, s = √MSE = 8.3068</t>
  </si>
  <si>
    <t>y_i</t>
  </si>
  <si>
    <t>ŷ_i</t>
  </si>
  <si>
    <t>e_i = y-ŷ</t>
  </si>
  <si>
    <t>h_ii</t>
  </si>
  <si>
    <t>s√(1-h_ii)</t>
  </si>
  <si>
    <t>r_i (studentized)</t>
  </si>
  <si>
    <t>Note: |r_i| &gt; 2 suggests an outlier</t>
  </si>
  <si>
    <t>[Description] STEP 3: Calculate Cook's Distance</t>
  </si>
  <si>
    <t>Formula: D_i = e_i² × h_ii / (p × MSE × (1-h_ii)²)</t>
  </si>
  <si>
    <t>Alternative: D_i = r_i² × h_ii / (p × (1-h_ii))</t>
  </si>
  <si>
    <t>where p = 2 (intercept + 1 predictor), MSE = 69.0027</t>
  </si>
  <si>
    <t>e_i</t>
  </si>
  <si>
    <t>e_i²</t>
  </si>
  <si>
    <t>1-h_ii</t>
  </si>
  <si>
    <t>(1-h_ii)²</t>
  </si>
  <si>
    <t>D_i (Cook's)</t>
  </si>
  <si>
    <t>Influential point: D_i &gt; 4/n = 4/6 = 0.667 or D_i &gt; 1</t>
  </si>
  <si>
    <t xml:space="preserve">   Compare observation 3 (outlier in Y) vs observation 6 (high leverage)</t>
  </si>
  <si>
    <t>Understanding Outliers vs Influential Points:</t>
  </si>
  <si>
    <t>- Outlier: observation with large residual (far from regression line)</t>
  </si>
  <si>
    <t>- High Leverage: observation with extreme X value (far from mean X)</t>
  </si>
  <si>
    <t>- Influential Point: observation that significantly affects regression coefficients</t>
  </si>
  <si>
    <t>Example from this data:</t>
  </si>
  <si>
    <t>- Obs 3: Outlier (large |r_i|=-1.61) but low leverage (h=0.19) -&gt; moderate influence (D=0.30)</t>
  </si>
  <si>
    <t>- Obs 6: High leverage (h=0.78) but small residual (r=-0.80) -&gt; high influence (D=1.12)</t>
  </si>
  <si>
    <t>- Conclusion: Obs 6 is more influential because high leverage amplifies its effect</t>
  </si>
  <si>
    <t>INTERPRETATION:</t>
  </si>
  <si>
    <t>Outlier vs Influential Point:</t>
  </si>
  <si>
    <t>An outlier has unusual Y value (large |r_i|) but may not change the regression line much.</t>
  </si>
  <si>
    <t>An influential point changes the regression substantially when removed (large Cook's D).</t>
  </si>
  <si>
    <t>High leverage + large residual = influential. High leverage alone is not enough.</t>
  </si>
  <si>
    <t>Based on your calculations, identify:</t>
  </si>
  <si>
    <t>Which observation(s) are outliers? (|r_i| &gt; 2)</t>
  </si>
  <si>
    <t>Which observation(s) are influential? (D_i &gt; 1 or D_i &gt; 4/n)</t>
  </si>
  <si>
    <t>[Description] Answer Key - All Solutions</t>
  </si>
  <si>
    <t>Regression Summary:</t>
  </si>
  <si>
    <t>β̂₀ = 11.8071</t>
  </si>
  <si>
    <t>β̂₁ = 2.9756</t>
  </si>
  <si>
    <t>x̄ = 1.7283</t>
  </si>
  <si>
    <t>SS_x = 54.3419</t>
  </si>
  <si>
    <t>MSE = 69.0027</t>
  </si>
  <si>
    <t>s = 8.3068</t>
  </si>
  <si>
    <t>r_i</t>
  </si>
  <si>
    <t>Cook's D</t>
  </si>
  <si>
    <t>Interpretation:</t>
  </si>
  <si>
    <t>- Obs 3: Large negative residual (e=-12.06, r=-1.61) -&gt; Y outlier, but low leverage (h=0.19)</t>
  </si>
  <si>
    <t>- Obs 6: Highest leverage (h=0.78) -&gt; extreme X value, but small residual (r=-0.80)</t>
  </si>
  <si>
    <t>- Cook's D shows Obs 6 (D=1.12) is most influential, followed by Obs 3 (D=0.30)</t>
  </si>
  <si>
    <t>Key Distinction: Outliers vs Influential Points</t>
  </si>
  <si>
    <t>- An outlier has unusual Y for its X (large studentized residual)</t>
  </si>
  <si>
    <t>- A high leverage point has unusual X (far from mean X)</t>
  </si>
  <si>
    <t>- An influential point changes regression results when removed</t>
  </si>
  <si>
    <t>- A point can be an outlier without being influential (Obs 3)</t>
  </si>
  <si>
    <t>- A high leverage point with small residual can still be influential (Obs 6)</t>
  </si>
  <si>
    <t>Distinction between outliers and influential:</t>
  </si>
  <si>
    <t>Obs 3: |r_3| = 1.61 (moderate outlier), D_3 = 0.297 (not influential by D&gt;1 rule)</t>
  </si>
  <si>
    <t>Obs 6: |r_6| = 0.80 (not outlier), D_6 = 1.116 (influential! D &gt; 1)</t>
  </si>
  <si>
    <t>Obs 6 is influential due to extreme leverage (h=0.78), not because of large residual.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</si>
</sst>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5">
    <font>
      <sz val="11.0"/>
      <color theme="1"/>
      <name val="Calibri"/>
      <scheme val="minor"/>
    </font>
    <font>
      <sz val="11.0"/>
      <color rgb="FF505050"/>
      <name val="Calibri"/>
    </font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mbria"/>
    </font>
    <font/>
    <font>
      <b/>
      <sz val="11.0"/>
      <color rgb="FFFFFFFF"/>
      <name val="Cambria"/>
    </font>
    <font>
      <b/>
      <color rgb="FFFFFFFF"/>
      <name val="Calibri"/>
    </font>
    <font>
      <sz val="11.0"/>
      <color rgb="FFFFFFFF"/>
      <name val="Calibri"/>
    </font>
    <font>
      <i/>
      <sz val="11.0"/>
      <color theme="1"/>
      <name val="Cambria"/>
    </font>
    <font>
      <i/>
      <sz val="11.0"/>
      <color rgb="FFCC0000"/>
      <name val="Cambria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2" fillId="3" fontId="6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vertical="bottom"/>
    </xf>
    <xf borderId="2" fillId="6" fontId="2" numFmtId="0" xfId="0" applyAlignment="1" applyBorder="1" applyFill="1" applyFont="1">
      <alignment vertical="bottom"/>
    </xf>
    <xf borderId="2" fillId="7" fontId="2" numFmtId="0" xfId="0" applyAlignment="1" applyBorder="1" applyFill="1" applyFont="1">
      <alignment vertical="bottom"/>
    </xf>
    <xf borderId="2" fillId="8" fontId="2" numFmtId="0" xfId="0" applyAlignment="1" applyBorder="1" applyFill="1" applyFont="1">
      <alignment vertical="bottom"/>
    </xf>
    <xf borderId="3" fillId="2" fontId="7" numFmtId="0" xfId="0" applyAlignment="1" applyBorder="1" applyFont="1">
      <alignment vertical="bottom"/>
    </xf>
    <xf borderId="4" fillId="0" fontId="8" numFmtId="0" xfId="0" applyBorder="1" applyFont="1"/>
    <xf borderId="5" fillId="0" fontId="8" numFmtId="0" xfId="0" applyBorder="1" applyFont="1"/>
    <xf borderId="1" fillId="9" fontId="9" numFmtId="0" xfId="0" applyAlignment="1" applyBorder="1" applyFill="1" applyFont="1">
      <alignment horizontal="center" vertical="center"/>
    </xf>
    <xf borderId="3" fillId="9" fontId="9" numFmtId="0" xfId="0" applyAlignment="1" applyBorder="1" applyFont="1">
      <alignment vertical="bottom"/>
    </xf>
    <xf borderId="1" fillId="9" fontId="10" numFmtId="0" xfId="0" applyAlignment="1" applyBorder="1" applyFont="1">
      <alignment horizontal="center"/>
    </xf>
    <xf borderId="1" fillId="9" fontId="11" numFmtId="0" xfId="0" applyAlignment="1" applyBorder="1" applyFont="1">
      <alignment horizontal="center" vertical="center"/>
    </xf>
    <xf borderId="1" fillId="4" fontId="2" numFmtId="2" xfId="0" applyAlignment="1" applyBorder="1" applyFont="1" applyNumberForma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9" fontId="11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center"/>
    </xf>
    <xf borderId="1" fillId="10" fontId="2" numFmtId="0" xfId="0" applyAlignment="1" applyBorder="1" applyFill="1" applyFont="1">
      <alignment horizontal="center"/>
    </xf>
    <xf borderId="1" fillId="6" fontId="2" numFmtId="165" xfId="0" applyAlignment="1" applyBorder="1" applyFont="1" applyNumberFormat="1">
      <alignment vertical="bottom"/>
    </xf>
    <xf borderId="0" fillId="10" fontId="12" numFmtId="0" xfId="0" applyAlignment="1" applyFont="1">
      <alignment vertical="bottom"/>
    </xf>
    <xf borderId="1" fillId="9" fontId="10" numFmtId="0" xfId="0" applyAlignment="1" applyBorder="1" applyFont="1">
      <alignment horizontal="center" shrinkToFit="0" wrapText="1"/>
    </xf>
    <xf borderId="1" fillId="4" fontId="2" numFmtId="2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10" fontId="7" numFmtId="0" xfId="0" applyAlignment="1" applyFont="1">
      <alignment vertical="bottom"/>
    </xf>
    <xf borderId="0" fillId="10" fontId="2" numFmtId="0" xfId="0" applyAlignment="1" applyFont="1">
      <alignment vertical="bottom"/>
    </xf>
    <xf borderId="1" fillId="4" fontId="2" numFmtId="164" xfId="0" applyAlignment="1" applyBorder="1" applyFont="1" applyNumberFormat="1">
      <alignment horizontal="center" vertical="bottom"/>
    </xf>
    <xf borderId="1" fillId="5" fontId="2" numFmtId="2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2" fillId="10" fontId="2" numFmtId="0" xfId="0" applyAlignment="1" applyBorder="1" applyFont="1">
      <alignment vertical="bottom"/>
    </xf>
    <xf borderId="2" fillId="1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6" fontId="2" numFmtId="0" xfId="0" applyAlignment="1" applyBorder="1" applyFont="1">
      <alignment vertical="bottom"/>
    </xf>
    <xf borderId="1" fillId="10" fontId="7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5" fontId="2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8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 t="s">
        <v>1</v>
      </c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5" t="s">
        <v>2</v>
      </c>
      <c r="B5" s="2" t="s">
        <v>3</v>
      </c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5" t="s">
        <v>4</v>
      </c>
      <c r="B6" s="2" t="s">
        <v>5</v>
      </c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5" t="s">
        <v>6</v>
      </c>
      <c r="B7" s="2" t="s">
        <v>7</v>
      </c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6" t="s">
        <v>8</v>
      </c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" t="s">
        <v>9</v>
      </c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" t="s">
        <v>10</v>
      </c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" t="s">
        <v>11</v>
      </c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" t="s">
        <v>12</v>
      </c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"/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"/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6" t="s">
        <v>13</v>
      </c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2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7" t="s">
        <v>14</v>
      </c>
      <c r="B19" s="8" t="s">
        <v>15</v>
      </c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7" t="s">
        <v>16</v>
      </c>
      <c r="B20" s="8" t="s">
        <v>17</v>
      </c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7" t="s">
        <v>18</v>
      </c>
      <c r="B21" s="8" t="s">
        <v>19</v>
      </c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2"/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2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" t="s">
        <v>20</v>
      </c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2" t="s">
        <v>21</v>
      </c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2" t="s">
        <v>22</v>
      </c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2" t="s">
        <v>23</v>
      </c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2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6" t="s">
        <v>24</v>
      </c>
      <c r="B29" s="2"/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2"/>
      <c r="B30" s="2"/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9"/>
      <c r="B31" s="2" t="s">
        <v>25</v>
      </c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0"/>
      <c r="B32" s="2" t="s">
        <v>26</v>
      </c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1"/>
      <c r="B33" s="2" t="s">
        <v>27</v>
      </c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2"/>
      <c r="B34" s="2" t="s">
        <v>28</v>
      </c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3"/>
      <c r="B35" s="2" t="s">
        <v>29</v>
      </c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2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2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2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16.0"/>
    <col customWidth="1" min="4" max="4" width="8.71"/>
    <col customWidth="1" min="5" max="5" width="16.0"/>
    <col customWidth="1" min="6" max="6" width="12.0"/>
    <col customWidth="1" min="7" max="7" width="8.71"/>
  </cols>
  <sheetData>
    <row r="1" ht="15.0" customHeight="1">
      <c r="A1" s="14" t="s">
        <v>30</v>
      </c>
      <c r="B1" s="15"/>
      <c r="C1" s="15"/>
      <c r="D1" s="15"/>
      <c r="E1" s="15"/>
      <c r="F1" s="1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3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7" t="s">
        <v>31</v>
      </c>
      <c r="B3" s="17" t="s">
        <v>32</v>
      </c>
      <c r="C3" s="17" t="s">
        <v>33</v>
      </c>
      <c r="D3" s="3"/>
      <c r="E3" s="18" t="s">
        <v>34</v>
      </c>
      <c r="F3" s="16"/>
      <c r="G3" s="19" t="s">
        <v>35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0">
        <v>1.0</v>
      </c>
      <c r="B4" s="21">
        <v>-2.3</v>
      </c>
      <c r="C4" s="22">
        <v>5.3</v>
      </c>
      <c r="D4" s="3"/>
      <c r="E4" s="23" t="s">
        <v>36</v>
      </c>
      <c r="F4" s="24"/>
      <c r="G4" s="25" t="str">
        <f>IF(F4="","",IF(F4=6,"✓","✗"))</f>
        <v/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0">
        <v>2.0</v>
      </c>
      <c r="B5" s="21">
        <v>0.0</v>
      </c>
      <c r="C5" s="22">
        <v>13.8</v>
      </c>
      <c r="D5" s="3"/>
      <c r="E5" s="23" t="s">
        <v>37</v>
      </c>
      <c r="F5" s="26"/>
      <c r="G5" s="25" t="str">
        <f>IF(F5="","",IF(ABS(F5-1.7283)&lt;0.001,"✓","✗"))</f>
        <v/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0">
        <v>3.0</v>
      </c>
      <c r="B6" s="21">
        <v>0.69</v>
      </c>
      <c r="C6" s="22">
        <v>1.8</v>
      </c>
      <c r="D6" s="3"/>
      <c r="E6" s="23" t="s">
        <v>38</v>
      </c>
      <c r="F6" s="26"/>
      <c r="G6" s="25" t="str">
        <f>IF(F6="","",IF(ABS(F6-16.95)&lt;0.01,"✓","✗"))</f>
        <v/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0">
        <v>4.0</v>
      </c>
      <c r="B7" s="21">
        <v>1.79</v>
      </c>
      <c r="C7" s="22">
        <v>19.5</v>
      </c>
      <c r="D7" s="3"/>
      <c r="E7" s="23" t="s">
        <v>39</v>
      </c>
      <c r="F7" s="26"/>
      <c r="G7" s="25" t="str">
        <f>IF(F7="","",IF(ABS(F7-54.3419)&lt;0.01,"✓","✗"))</f>
        <v/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0">
        <v>5.0</v>
      </c>
      <c r="B8" s="21">
        <v>2.71</v>
      </c>
      <c r="C8" s="22">
        <v>30.4</v>
      </c>
      <c r="D8" s="3"/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0">
        <v>6.0</v>
      </c>
      <c r="B9" s="21">
        <v>7.48</v>
      </c>
      <c r="C9" s="22">
        <v>30.9</v>
      </c>
      <c r="D9" s="3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C10" s="2"/>
      <c r="D10" s="3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/>
      <c r="B11" s="2"/>
      <c r="C11" s="2"/>
      <c r="D11" s="3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C13" s="2"/>
      <c r="D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3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3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/>
      <c r="B16" s="2"/>
      <c r="C16" s="2"/>
      <c r="D16" s="3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3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3"/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3"/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3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3"/>
      <c r="E21" s="2"/>
      <c r="F21" s="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3"/>
      <c r="E22" s="2"/>
      <c r="F22" s="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3"/>
      <c r="E23" s="2"/>
      <c r="F23" s="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3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3"/>
      <c r="E25" s="2"/>
      <c r="F25" s="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3"/>
      <c r="E26" s="2"/>
      <c r="F26" s="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3"/>
      <c r="E27" s="2"/>
      <c r="F27" s="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3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3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3"/>
      <c r="E30" s="2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3"/>
      <c r="E31" s="2"/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3"/>
      <c r="E32" s="2"/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3"/>
      <c r="E33" s="2"/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3"/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3"/>
      <c r="E35" s="2"/>
      <c r="F35" s="2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3"/>
      <c r="E36" s="2"/>
      <c r="F36" s="2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3"/>
      <c r="E37" s="2"/>
      <c r="F37" s="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3"/>
      <c r="E38" s="2"/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3"/>
      <c r="E39" s="2"/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3"/>
      <c r="E40" s="2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3"/>
      <c r="E41" s="2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3"/>
      <c r="E42" s="2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3"/>
      <c r="E43" s="2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3"/>
      <c r="E44" s="2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3"/>
      <c r="E45" s="2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3"/>
      <c r="E46" s="2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3"/>
      <c r="E47" s="2"/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3"/>
      <c r="E48" s="2"/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3"/>
      <c r="E49" s="2"/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3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3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3"/>
      <c r="E52" s="2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3"/>
      <c r="E53" s="2"/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3"/>
      <c r="E54" s="2"/>
      <c r="F54" s="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3"/>
      <c r="E55" s="2"/>
      <c r="F55" s="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3"/>
      <c r="E56" s="2"/>
      <c r="F56" s="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3"/>
      <c r="E57" s="2"/>
      <c r="F57" s="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3"/>
      <c r="E58" s="2"/>
      <c r="F58" s="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3"/>
      <c r="E59" s="2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3"/>
      <c r="E60" s="2"/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3"/>
      <c r="E61" s="2"/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3"/>
      <c r="E62" s="2"/>
      <c r="F62" s="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3"/>
      <c r="E63" s="2"/>
      <c r="F63" s="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3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3"/>
      <c r="E65" s="2"/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3"/>
      <c r="E66" s="2"/>
      <c r="F66" s="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3"/>
      <c r="E67" s="2"/>
      <c r="F67" s="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3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3"/>
      <c r="E69" s="2"/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3"/>
      <c r="E70" s="2"/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3"/>
      <c r="E71" s="2"/>
      <c r="F71" s="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3"/>
      <c r="E72" s="2"/>
      <c r="F72" s="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3"/>
      <c r="E73" s="2"/>
      <c r="F73" s="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3"/>
      <c r="E74" s="2"/>
      <c r="F74" s="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3"/>
      <c r="E75" s="2"/>
      <c r="F75" s="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3"/>
      <c r="E76" s="2"/>
      <c r="F76" s="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3"/>
      <c r="E77" s="2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3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3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3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3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3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3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3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3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3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3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3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3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3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3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3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3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3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3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3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3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3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3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3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3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3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3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3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3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3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3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3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3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3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3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3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3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3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3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3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3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3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3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3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3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3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3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3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3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3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3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3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3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3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3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3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3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3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3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3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3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3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3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3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3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3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3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3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3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3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3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3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3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3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3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3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3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3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3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3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3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3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3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3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3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3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3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3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3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3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3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3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3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3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3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3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3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3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3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3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3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3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3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3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3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3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3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3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3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3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3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3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3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3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3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3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3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3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3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3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3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3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3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3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3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3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3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3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3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3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3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3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3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3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3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3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3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3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3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3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3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3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3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3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E3:F3"/>
  </mergeCells>
  <conditionalFormatting sqref="G4:G7">
    <cfRule type="expression" dxfId="0" priority="1">
      <formula>G4="✓"</formula>
    </cfRule>
  </conditionalFormatting>
  <conditionalFormatting sqref="G4:G7">
    <cfRule type="expression" dxfId="1" priority="2">
      <formula>G4="✗"</formula>
    </cfRule>
  </conditionalFormatting>
  <conditionalFormatting sqref="F4">
    <cfRule type="expression" dxfId="0" priority="3">
      <formula>AND(F4&lt;&gt;"", F4=6)</formula>
    </cfRule>
  </conditionalFormatting>
  <conditionalFormatting sqref="F4">
    <cfRule type="expression" dxfId="1" priority="4">
      <formula>AND(F4&lt;&gt;"", F4&lt;&gt;6)</formula>
    </cfRule>
  </conditionalFormatting>
  <conditionalFormatting sqref="F5">
    <cfRule type="expression" dxfId="0" priority="5">
      <formula>AND(F5&lt;&gt;"", ABS(F5-1.7283)&lt;0.01)</formula>
    </cfRule>
  </conditionalFormatting>
  <conditionalFormatting sqref="F5">
    <cfRule type="expression" dxfId="1" priority="6">
      <formula>AND(F5&lt;&gt;"", ABS(F5-1.7283)&gt;=0.01)</formula>
    </cfRule>
  </conditionalFormatting>
  <conditionalFormatting sqref="F6">
    <cfRule type="expression" dxfId="0" priority="7">
      <formula>AND(F6&lt;&gt;"", ABS(F6-16.95)&lt;0.01)</formula>
    </cfRule>
  </conditionalFormatting>
  <conditionalFormatting sqref="F6">
    <cfRule type="expression" dxfId="1" priority="8">
      <formula>AND(F6&lt;&gt;"", ABS(F6-16.95)&gt;=0.01)</formula>
    </cfRule>
  </conditionalFormatting>
  <conditionalFormatting sqref="F7">
    <cfRule type="expression" dxfId="0" priority="9">
      <formula>AND(F7&lt;&gt;"", ABS(F7-54.3419)&lt;0.01)</formula>
    </cfRule>
  </conditionalFormatting>
  <conditionalFormatting sqref="F7">
    <cfRule type="expression" dxfId="1" priority="10">
      <formula>AND(F7&lt;&gt;"", ABS(F7-54.3419)&gt;=0.01)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0"/>
    <col customWidth="1" min="5" max="5" width="26.0"/>
    <col customWidth="1" min="6" max="7" width="12.0"/>
    <col customWidth="1" min="8" max="8" width="8.71"/>
  </cols>
  <sheetData>
    <row r="1" ht="15.0" customHeight="1">
      <c r="A1" s="14" t="s">
        <v>40</v>
      </c>
      <c r="B1" s="15"/>
      <c r="C1" s="15"/>
      <c r="D1" s="15"/>
      <c r="E1" s="15"/>
      <c r="F1" s="15"/>
      <c r="G1" s="15"/>
      <c r="H1" s="1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7" t="s">
        <v>41</v>
      </c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/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7" t="s">
        <v>31</v>
      </c>
      <c r="B5" s="17" t="s">
        <v>42</v>
      </c>
      <c r="C5" s="17" t="s">
        <v>43</v>
      </c>
      <c r="D5" s="17" t="s">
        <v>44</v>
      </c>
      <c r="E5" s="17" t="s">
        <v>45</v>
      </c>
      <c r="F5" s="28" t="s">
        <v>35</v>
      </c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0">
        <v>1.0</v>
      </c>
      <c r="B6" s="29">
        <v>-2.3</v>
      </c>
      <c r="C6" s="30">
        <v>-4.0283</v>
      </c>
      <c r="D6" s="30">
        <v>16.2275</v>
      </c>
      <c r="E6" s="31"/>
      <c r="F6" s="25" t="str">
        <f>IF(E6="","",IF(ABS(E6-Answer_Key!F12)&lt;0.01,"✓","✗"))</f>
        <v/>
      </c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0">
        <v>2.0</v>
      </c>
      <c r="B7" s="29">
        <v>0.0</v>
      </c>
      <c r="C7" s="30">
        <v>-1.7283</v>
      </c>
      <c r="D7" s="30">
        <v>2.9871</v>
      </c>
      <c r="E7" s="31"/>
      <c r="F7" s="25" t="str">
        <f>IF(E7="","",IF(ABS(E7-Answer_Key!F13)&lt;0.01,"✓","✗"))</f>
        <v/>
      </c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0">
        <v>3.0</v>
      </c>
      <c r="B8" s="29">
        <v>0.69</v>
      </c>
      <c r="C8" s="30">
        <v>-1.0383</v>
      </c>
      <c r="D8" s="30">
        <v>1.0781</v>
      </c>
      <c r="E8" s="31"/>
      <c r="F8" s="25" t="str">
        <f>IF(E8="","",IF(ABS(E8-Answer_Key!F14)&lt;0.01,"✓","✗"))</f>
        <v/>
      </c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0">
        <v>4.0</v>
      </c>
      <c r="B9" s="29">
        <v>1.79</v>
      </c>
      <c r="C9" s="30">
        <v>0.0617</v>
      </c>
      <c r="D9" s="30">
        <v>0.0038</v>
      </c>
      <c r="E9" s="31"/>
      <c r="F9" s="25" t="str">
        <f>IF(E9="","",IF(ABS(E9-Answer_Key!F15)&lt;0.01,"✓","✗"))</f>
        <v/>
      </c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0">
        <v>5.0</v>
      </c>
      <c r="B10" s="29">
        <v>2.71</v>
      </c>
      <c r="C10" s="30">
        <v>0.9817</v>
      </c>
      <c r="D10" s="30">
        <v>0.9637</v>
      </c>
      <c r="E10" s="31"/>
      <c r="F10" s="25" t="str">
        <f>IF(E10="","",IF(ABS(E10-Answer_Key!F16)&lt;0.01,"✓","✗"))</f>
        <v/>
      </c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0">
        <v>6.0</v>
      </c>
      <c r="B11" s="29">
        <v>7.48</v>
      </c>
      <c r="C11" s="30">
        <v>5.7517</v>
      </c>
      <c r="D11" s="30">
        <v>33.0817</v>
      </c>
      <c r="E11" s="31"/>
      <c r="F11" s="25" t="str">
        <f>IF(E11="","",IF(ABS(E11-Answer_Key!F17)&lt;0.01,"✓","✗"))</f>
        <v/>
      </c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2" t="s">
        <v>46</v>
      </c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2" t="s">
        <v>47</v>
      </c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3" t="s">
        <v>48</v>
      </c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2"/>
      <c r="E22" s="2"/>
      <c r="F22" s="2"/>
      <c r="G22" s="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2"/>
      <c r="F23" s="2"/>
      <c r="G23" s="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2"/>
      <c r="E24" s="2"/>
      <c r="F24" s="2"/>
      <c r="G24" s="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2"/>
      <c r="E26" s="2"/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2"/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2"/>
      <c r="F31" s="2"/>
      <c r="G31" s="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H1"/>
    <mergeCell ref="A3:F3"/>
  </mergeCells>
  <conditionalFormatting sqref="F6:F11">
    <cfRule type="expression" dxfId="0" priority="1">
      <formula>F6="✓"</formula>
    </cfRule>
  </conditionalFormatting>
  <conditionalFormatting sqref="F6:F11">
    <cfRule type="expression" dxfId="1" priority="2">
      <formula>F6="✗"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  <col customWidth="1" min="7" max="7" width="17.71"/>
    <col customWidth="1" min="8" max="9" width="14.0"/>
    <col customWidth="1" min="10" max="10" width="8.71"/>
  </cols>
  <sheetData>
    <row r="1" ht="15.0" customHeight="1">
      <c r="A1" s="14" t="s">
        <v>49</v>
      </c>
      <c r="B1" s="15"/>
      <c r="C1" s="15"/>
      <c r="D1" s="15"/>
      <c r="E1" s="15"/>
      <c r="F1" s="15"/>
      <c r="G1" s="15"/>
      <c r="H1" s="15"/>
      <c r="I1" s="15"/>
      <c r="J1" s="1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4" t="s">
        <v>50</v>
      </c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5" t="s">
        <v>51</v>
      </c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5" t="s">
        <v>52</v>
      </c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7" t="s">
        <v>31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28" t="s">
        <v>35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0">
        <v>1.0</v>
      </c>
      <c r="B8" s="36">
        <v>5.3</v>
      </c>
      <c r="C8" s="37">
        <v>4.96</v>
      </c>
      <c r="D8" s="37">
        <v>0.34</v>
      </c>
      <c r="E8" s="30">
        <v>0.4653</v>
      </c>
      <c r="F8" s="30">
        <v>6.0743</v>
      </c>
      <c r="G8" s="31"/>
      <c r="H8" s="25" t="str">
        <f>IF(G8="","",IF(ABS(G8-Answer_Key!G12)&lt;0.01,"✓","✗"))</f>
        <v/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0">
        <v>2.0</v>
      </c>
      <c r="B9" s="36">
        <v>13.8</v>
      </c>
      <c r="C9" s="37">
        <v>11.81</v>
      </c>
      <c r="D9" s="37">
        <v>1.99</v>
      </c>
      <c r="E9" s="30">
        <v>0.2216</v>
      </c>
      <c r="F9" s="30">
        <v>7.3287</v>
      </c>
      <c r="G9" s="31"/>
      <c r="H9" s="25" t="str">
        <f>IF(G9="","",IF(ABS(G9-Answer_Key!G13)&lt;0.01,"✓","✗"))</f>
        <v/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0">
        <v>3.0</v>
      </c>
      <c r="B10" s="36">
        <v>1.8</v>
      </c>
      <c r="C10" s="37">
        <v>13.86</v>
      </c>
      <c r="D10" s="37">
        <v>-12.06</v>
      </c>
      <c r="E10" s="30">
        <v>0.1865</v>
      </c>
      <c r="F10" s="30">
        <v>7.4922</v>
      </c>
      <c r="G10" s="31"/>
      <c r="H10" s="25" t="str">
        <f>IF(G10="","",IF(ABS(G10-Answer_Key!G14)&lt;0.01,"✓","✗"))</f>
        <v/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0">
        <v>4.0</v>
      </c>
      <c r="B11" s="36">
        <v>19.5</v>
      </c>
      <c r="C11" s="37">
        <v>17.13</v>
      </c>
      <c r="D11" s="37">
        <v>2.37</v>
      </c>
      <c r="E11" s="30">
        <v>0.1667</v>
      </c>
      <c r="F11" s="30">
        <v>7.5827</v>
      </c>
      <c r="G11" s="31"/>
      <c r="H11" s="25" t="str">
        <f>IF(G11="","",IF(ABS(G11-Answer_Key!G15)&lt;0.01,"✓","✗"))</f>
        <v/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0">
        <v>5.0</v>
      </c>
      <c r="B12" s="36">
        <v>30.4</v>
      </c>
      <c r="C12" s="37">
        <v>19.87</v>
      </c>
      <c r="D12" s="37">
        <v>10.53</v>
      </c>
      <c r="E12" s="30">
        <v>0.1844</v>
      </c>
      <c r="F12" s="30">
        <v>7.5019</v>
      </c>
      <c r="G12" s="31"/>
      <c r="H12" s="25" t="str">
        <f>IF(G12="","",IF(ABS(G12-Answer_Key!G16)&lt;0.01,"✓","✗"))</f>
        <v/>
      </c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0">
        <v>6.0</v>
      </c>
      <c r="B13" s="36">
        <v>30.9</v>
      </c>
      <c r="C13" s="37">
        <v>34.06</v>
      </c>
      <c r="D13" s="37">
        <v>-3.16</v>
      </c>
      <c r="E13" s="30">
        <v>0.7754</v>
      </c>
      <c r="F13" s="30">
        <v>3.9364</v>
      </c>
      <c r="G13" s="31"/>
      <c r="H13" s="25" t="str">
        <f>IF(G13="","",IF(ABS(G13-Answer_Key!G17)&lt;0.01,"✓","✗"))</f>
        <v/>
      </c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2" t="s">
        <v>59</v>
      </c>
      <c r="B16" s="2"/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J1"/>
  </mergeCells>
  <conditionalFormatting sqref="H8:H13">
    <cfRule type="expression" dxfId="0" priority="1">
      <formula>H8="✓"</formula>
    </cfRule>
  </conditionalFormatting>
  <conditionalFormatting sqref="H8:H13">
    <cfRule type="expression" dxfId="1" priority="2">
      <formula>H8="✗"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86"/>
    <col customWidth="1" min="2" max="6" width="12.0"/>
    <col customWidth="1" min="7" max="7" width="14.86"/>
    <col customWidth="1" min="8" max="9" width="12.0"/>
  </cols>
  <sheetData>
    <row r="1" ht="15.0" customHeight="1">
      <c r="A1" s="14" t="s">
        <v>60</v>
      </c>
      <c r="B1" s="15"/>
      <c r="C1" s="15"/>
      <c r="D1" s="15"/>
      <c r="E1" s="15"/>
      <c r="F1" s="15"/>
      <c r="G1" s="15"/>
      <c r="H1" s="15"/>
      <c r="I1" s="1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7" t="s">
        <v>61</v>
      </c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7" t="s">
        <v>62</v>
      </c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5" t="s">
        <v>63</v>
      </c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  <c r="F6" s="2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7" t="s">
        <v>31</v>
      </c>
      <c r="B7" s="17" t="s">
        <v>64</v>
      </c>
      <c r="C7" s="17" t="s">
        <v>65</v>
      </c>
      <c r="D7" s="17" t="s">
        <v>56</v>
      </c>
      <c r="E7" s="17" t="s">
        <v>66</v>
      </c>
      <c r="F7" s="17" t="s">
        <v>67</v>
      </c>
      <c r="G7" s="17" t="s">
        <v>68</v>
      </c>
      <c r="H7" s="28" t="s">
        <v>35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0">
        <v>1.0</v>
      </c>
      <c r="B8" s="29">
        <v>0.34</v>
      </c>
      <c r="C8" s="29">
        <v>0.11</v>
      </c>
      <c r="D8" s="38">
        <v>0.4653</v>
      </c>
      <c r="E8" s="38">
        <v>0.5347</v>
      </c>
      <c r="F8" s="38">
        <v>0.2859</v>
      </c>
      <c r="G8" s="26"/>
      <c r="H8" s="25" t="str">
        <f>IF(G8="","",IF(ABS(G8-Answer_Key!H12)&lt;0.01,"✓","✗"))</f>
        <v/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0">
        <v>2.0</v>
      </c>
      <c r="B9" s="29">
        <v>1.99</v>
      </c>
      <c r="C9" s="29">
        <v>3.97</v>
      </c>
      <c r="D9" s="38">
        <v>0.2216</v>
      </c>
      <c r="E9" s="38">
        <v>0.7784</v>
      </c>
      <c r="F9" s="38">
        <v>0.6059</v>
      </c>
      <c r="G9" s="26"/>
      <c r="H9" s="25" t="str">
        <f>IF(G9="","",IF(ABS(G9-Answer_Key!H13)&lt;0.01,"✓","✗"))</f>
        <v/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0">
        <v>3.0</v>
      </c>
      <c r="B10" s="29">
        <v>-12.06</v>
      </c>
      <c r="C10" s="29">
        <v>145.45</v>
      </c>
      <c r="D10" s="38">
        <v>0.1865</v>
      </c>
      <c r="E10" s="38">
        <v>0.8135</v>
      </c>
      <c r="F10" s="38">
        <v>0.6618</v>
      </c>
      <c r="G10" s="26"/>
      <c r="H10" s="25" t="str">
        <f>IF(G10="","",IF(ABS(G10-Answer_Key!H14)&lt;0.01,"✓","✗"))</f>
        <v/>
      </c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0">
        <v>4.0</v>
      </c>
      <c r="B11" s="29">
        <v>2.37</v>
      </c>
      <c r="C11" s="29">
        <v>5.6</v>
      </c>
      <c r="D11" s="38">
        <v>0.1667</v>
      </c>
      <c r="E11" s="38">
        <v>0.8333</v>
      </c>
      <c r="F11" s="38">
        <v>0.6943</v>
      </c>
      <c r="G11" s="26"/>
      <c r="H11" s="25" t="str">
        <f>IF(G11="","",IF(ABS(G11-Answer_Key!H15)&lt;0.01,"✓","✗"))</f>
        <v/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0">
        <v>5.0</v>
      </c>
      <c r="B12" s="29">
        <v>10.53</v>
      </c>
      <c r="C12" s="29">
        <v>110.86</v>
      </c>
      <c r="D12" s="38">
        <v>0.1844</v>
      </c>
      <c r="E12" s="38">
        <v>0.8156</v>
      </c>
      <c r="F12" s="38">
        <v>0.6652</v>
      </c>
      <c r="G12" s="26"/>
      <c r="H12" s="25" t="str">
        <f>IF(G12="","",IF(ABS(G12-Answer_Key!H16)&lt;0.01,"✓","✗"))</f>
        <v/>
      </c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0">
        <v>6.0</v>
      </c>
      <c r="B13" s="29">
        <v>-3.16</v>
      </c>
      <c r="C13" s="29">
        <v>10.02</v>
      </c>
      <c r="D13" s="38">
        <v>0.7754</v>
      </c>
      <c r="E13" s="38">
        <v>0.2246</v>
      </c>
      <c r="F13" s="38">
        <v>0.0504</v>
      </c>
      <c r="G13" s="26"/>
      <c r="H13" s="25" t="str">
        <f>IF(G13="","",IF(ABS(G13-Answer_Key!H17)&lt;0.01,"✓","✗"))</f>
        <v/>
      </c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2" t="s">
        <v>69</v>
      </c>
      <c r="B16" s="2"/>
      <c r="C16" s="2"/>
      <c r="D16" s="2"/>
      <c r="E16" s="2"/>
      <c r="F16" s="2"/>
      <c r="G16" s="2"/>
      <c r="H16" s="2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3" t="s">
        <v>70</v>
      </c>
      <c r="B17" s="2"/>
      <c r="C17" s="2"/>
      <c r="D17" s="2"/>
      <c r="E17" s="2"/>
      <c r="F17" s="2"/>
      <c r="G17" s="2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9" t="s">
        <v>71</v>
      </c>
      <c r="B19" s="2"/>
      <c r="C19" s="2"/>
      <c r="D19" s="2"/>
      <c r="E19" s="2"/>
      <c r="F19" s="2"/>
      <c r="G19" s="2"/>
      <c r="H19" s="2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" t="s">
        <v>72</v>
      </c>
      <c r="B20" s="2"/>
      <c r="C20" s="2"/>
      <c r="D20" s="2"/>
      <c r="E20" s="2"/>
      <c r="F20" s="2"/>
      <c r="G20" s="2"/>
      <c r="H20" s="2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2" t="s">
        <v>73</v>
      </c>
      <c r="B21" s="2"/>
      <c r="C21" s="2"/>
      <c r="D21" s="2"/>
      <c r="E21" s="2"/>
      <c r="F21" s="2"/>
      <c r="G21" s="2"/>
      <c r="H21" s="2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2" t="s">
        <v>74</v>
      </c>
      <c r="B22" s="2"/>
      <c r="C22" s="2"/>
      <c r="D22" s="2"/>
      <c r="E22" s="2"/>
      <c r="F22" s="2"/>
      <c r="G22" s="2"/>
      <c r="H22" s="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2" t="s">
        <v>75</v>
      </c>
      <c r="B24" s="2"/>
      <c r="C24" s="2"/>
      <c r="D24" s="2"/>
      <c r="E24" s="2"/>
      <c r="F24" s="2"/>
      <c r="G24" s="2"/>
      <c r="H24" s="2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2" t="s">
        <v>76</v>
      </c>
      <c r="B25" s="2"/>
      <c r="C25" s="2"/>
      <c r="D25" s="2"/>
      <c r="E25" s="2"/>
      <c r="F25" s="2"/>
      <c r="G25" s="2"/>
      <c r="H25" s="2"/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2" t="s">
        <v>77</v>
      </c>
      <c r="B26" s="2"/>
      <c r="C26" s="2"/>
      <c r="D26" s="2"/>
      <c r="E26" s="2"/>
      <c r="F26" s="2"/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2" t="s">
        <v>78</v>
      </c>
      <c r="B27" s="2"/>
      <c r="C27" s="2"/>
      <c r="D27" s="2"/>
      <c r="E27" s="2"/>
      <c r="F27" s="2"/>
      <c r="G27" s="2"/>
      <c r="H27" s="2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40" t="s">
        <v>79</v>
      </c>
      <c r="B29" s="2"/>
      <c r="C29" s="2"/>
      <c r="D29" s="2"/>
      <c r="E29" s="2"/>
      <c r="F29" s="2"/>
      <c r="G29" s="2"/>
      <c r="H29" s="2"/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41" t="s">
        <v>80</v>
      </c>
      <c r="B31" s="2"/>
      <c r="C31" s="2"/>
      <c r="D31" s="2"/>
      <c r="E31" s="2"/>
      <c r="F31" s="2"/>
      <c r="G31" s="2"/>
      <c r="H31" s="2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2" t="s">
        <v>81</v>
      </c>
      <c r="B32" s="2"/>
      <c r="C32" s="2"/>
      <c r="D32" s="2"/>
      <c r="E32" s="2"/>
      <c r="F32" s="2"/>
      <c r="G32" s="2"/>
      <c r="H32" s="2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2" t="s">
        <v>82</v>
      </c>
      <c r="B33" s="2"/>
      <c r="C33" s="2"/>
      <c r="D33" s="2"/>
      <c r="E33" s="2"/>
      <c r="F33" s="2"/>
      <c r="G33" s="2"/>
      <c r="H33" s="2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2" t="s">
        <v>83</v>
      </c>
      <c r="B34" s="2"/>
      <c r="C34" s="2"/>
      <c r="D34" s="2"/>
      <c r="E34" s="2"/>
      <c r="F34" s="2"/>
      <c r="G34" s="2"/>
      <c r="H34" s="2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2" t="s">
        <v>84</v>
      </c>
      <c r="B36" s="2"/>
      <c r="C36" s="2"/>
      <c r="D36" s="2"/>
      <c r="E36" s="2"/>
      <c r="F36" s="2"/>
      <c r="G36" s="2"/>
      <c r="H36" s="2"/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2" t="s">
        <v>85</v>
      </c>
      <c r="B37" s="42"/>
      <c r="C37" s="2"/>
      <c r="D37" s="2"/>
      <c r="E37" s="2"/>
      <c r="F37" s="2"/>
      <c r="G37" s="2"/>
      <c r="H37" s="2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2" t="s">
        <v>86</v>
      </c>
      <c r="B38" s="42"/>
      <c r="C38" s="2"/>
      <c r="D38" s="2"/>
      <c r="E38" s="2"/>
      <c r="F38" s="2"/>
      <c r="G38" s="2"/>
      <c r="H38" s="2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I1"/>
  </mergeCells>
  <conditionalFormatting sqref="H8:H13">
    <cfRule type="expression" dxfId="0" priority="1">
      <formula>H8="✓"</formula>
    </cfRule>
  </conditionalFormatting>
  <conditionalFormatting sqref="H8:H13">
    <cfRule type="expression" dxfId="1" priority="2">
      <formula>H8="✗"</formula>
    </cfRule>
  </conditionalFormatting>
  <conditionalFormatting sqref="B37">
    <cfRule type="expression" dxfId="0" priority="3">
      <formula>AND(B37&lt;&gt;"", OR(ISNUMBER(SEARCH("none",LOWER(B37))), ISNUMBER(SEARCH("없",B37)), B37=0, LOWER(B37)="no", LOWER(B37)="x"))</formula>
    </cfRule>
  </conditionalFormatting>
  <conditionalFormatting sqref="B37">
    <cfRule type="expression" dxfId="1" priority="4">
      <formula>AND(B37&lt;&gt;"", NOT(OR(ISNUMBER(SEARCH("none",LOWER(B37))), ISNUMBER(SEARCH("없",B37)), B37=0, LOWER(B37)="no", LOWER(B37)="x")))</formula>
    </cfRule>
  </conditionalFormatting>
  <conditionalFormatting sqref="B38">
    <cfRule type="expression" dxfId="0" priority="5">
      <formula>AND(B38&lt;&gt;"", ISNUMBER(SEARCH("6",B38)))</formula>
    </cfRule>
  </conditionalFormatting>
  <conditionalFormatting sqref="B38">
    <cfRule type="expression" dxfId="1" priority="6">
      <formula>AND(B38&lt;&gt;"", NOT(ISNUMBER(SEARCH("6",B38))))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8" width="12.0"/>
  </cols>
  <sheetData>
    <row r="1" ht="15.0" customHeight="1">
      <c r="A1" s="14" t="s">
        <v>87</v>
      </c>
      <c r="B1" s="15"/>
      <c r="C1" s="15"/>
      <c r="D1" s="15"/>
      <c r="E1" s="15"/>
      <c r="F1" s="15"/>
      <c r="G1" s="16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3" t="s">
        <v>88</v>
      </c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44" t="s">
        <v>89</v>
      </c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44" t="s">
        <v>90</v>
      </c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4" t="s">
        <v>91</v>
      </c>
      <c r="B6" s="2"/>
      <c r="C6" s="2"/>
      <c r="D6" s="2"/>
      <c r="E6" s="2"/>
      <c r="F6" s="2"/>
      <c r="G6" s="2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44" t="s">
        <v>92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44" t="s">
        <v>93</v>
      </c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44" t="s">
        <v>94</v>
      </c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7" t="s">
        <v>31</v>
      </c>
      <c r="B11" s="17" t="s">
        <v>42</v>
      </c>
      <c r="C11" s="17" t="s">
        <v>53</v>
      </c>
      <c r="D11" s="17" t="s">
        <v>54</v>
      </c>
      <c r="E11" s="17" t="s">
        <v>64</v>
      </c>
      <c r="F11" s="17" t="s">
        <v>56</v>
      </c>
      <c r="G11" s="17" t="s">
        <v>95</v>
      </c>
      <c r="H11" s="17" t="s">
        <v>96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0">
        <v>1.0</v>
      </c>
      <c r="B12" s="37">
        <v>-2.3</v>
      </c>
      <c r="C12" s="45">
        <v>5.3</v>
      </c>
      <c r="D12" s="37">
        <v>4.96</v>
      </c>
      <c r="E12" s="37">
        <v>0.34</v>
      </c>
      <c r="F12" s="30">
        <v>0.4653</v>
      </c>
      <c r="G12" s="30">
        <v>0.0555</v>
      </c>
      <c r="H12" s="30">
        <v>0.0013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0">
        <v>2.0</v>
      </c>
      <c r="B13" s="37">
        <v>0.0</v>
      </c>
      <c r="C13" s="45">
        <v>13.8</v>
      </c>
      <c r="D13" s="37">
        <v>11.81</v>
      </c>
      <c r="E13" s="37">
        <v>1.99</v>
      </c>
      <c r="F13" s="30">
        <v>0.2216</v>
      </c>
      <c r="G13" s="30">
        <v>0.2719</v>
      </c>
      <c r="H13" s="30">
        <v>0.0105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0">
        <v>3.0</v>
      </c>
      <c r="B14" s="37">
        <v>0.69</v>
      </c>
      <c r="C14" s="45">
        <v>1.8</v>
      </c>
      <c r="D14" s="37">
        <v>13.86</v>
      </c>
      <c r="E14" s="37">
        <v>-12.06</v>
      </c>
      <c r="F14" s="30">
        <v>0.1865</v>
      </c>
      <c r="G14" s="30">
        <v>-1.6097</v>
      </c>
      <c r="H14" s="30">
        <v>0.297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0">
        <v>4.0</v>
      </c>
      <c r="B15" s="37">
        <v>1.79</v>
      </c>
      <c r="C15" s="45">
        <v>19.5</v>
      </c>
      <c r="D15" s="37">
        <v>17.13</v>
      </c>
      <c r="E15" s="37">
        <v>2.37</v>
      </c>
      <c r="F15" s="30">
        <v>0.1667</v>
      </c>
      <c r="G15" s="30">
        <v>0.3121</v>
      </c>
      <c r="H15" s="30">
        <v>0.0097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0">
        <v>5.0</v>
      </c>
      <c r="B16" s="37">
        <v>2.71</v>
      </c>
      <c r="C16" s="45">
        <v>30.4</v>
      </c>
      <c r="D16" s="37">
        <v>19.87</v>
      </c>
      <c r="E16" s="37">
        <v>10.53</v>
      </c>
      <c r="F16" s="30">
        <v>0.1844</v>
      </c>
      <c r="G16" s="30">
        <v>1.4035</v>
      </c>
      <c r="H16" s="30">
        <v>0.2227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20">
        <v>6.0</v>
      </c>
      <c r="B17" s="37">
        <v>7.48</v>
      </c>
      <c r="C17" s="45">
        <v>30.9</v>
      </c>
      <c r="D17" s="37">
        <v>34.06</v>
      </c>
      <c r="E17" s="37">
        <v>-3.16</v>
      </c>
      <c r="F17" s="30">
        <v>0.7754</v>
      </c>
      <c r="G17" s="30">
        <v>-0.804</v>
      </c>
      <c r="H17" s="30">
        <v>1.116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/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43" t="s">
        <v>97</v>
      </c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44" t="s">
        <v>98</v>
      </c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44" t="s">
        <v>99</v>
      </c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44" t="s">
        <v>100</v>
      </c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9" t="s">
        <v>101</v>
      </c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9" t="s">
        <v>102</v>
      </c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9" t="s">
        <v>103</v>
      </c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9" t="s">
        <v>104</v>
      </c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9" t="s">
        <v>105</v>
      </c>
      <c r="B29" s="2"/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9" t="s">
        <v>106</v>
      </c>
      <c r="B30" s="2"/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5"/>
      <c r="B31" s="2"/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40" t="s">
        <v>107</v>
      </c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9" t="s">
        <v>108</v>
      </c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9" t="s">
        <v>109</v>
      </c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9" t="s">
        <v>110</v>
      </c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2026-02-17T02:07:16Z</dcterms:created>
  <dc:creator>openpyxl</dc:creator>
</cp:coreProperties>
</file>