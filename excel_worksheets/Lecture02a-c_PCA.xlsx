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Original_Data" sheetId="2" r:id="rId5"/>
    <sheet state="visible" name="Step2_Standardization" sheetId="3" r:id="rId6"/>
    <sheet state="visible" name="Step3_Correlation" sheetId="4" r:id="rId7"/>
    <sheet state="visible" name="Step4_Eigenvalues" sheetId="5" r:id="rId8"/>
    <sheet state="visible" name="Step5_PC_Scores" sheetId="6" r:id="rId9"/>
    <sheet state="visible" name="Answer_Key" sheetId="7" r:id="rId10"/>
  </sheets>
  <definedNames/>
  <calcPr/>
  <extLst>
    <ext uri="GoogleSheetsCustomDataVersion2">
      <go:sheetsCustomData xmlns:go="http://customooxmlschemas.google.com/" r:id="rId11" roundtripDataChecksum="zRhCSlskkC3a0Q1yg8uRveugyiR5U1RS5Nwf9zu+XBQ="/>
    </ext>
  </extLst>
</workbook>
</file>

<file path=xl/sharedStrings.xml><?xml version="1.0" encoding="utf-8"?>
<sst xmlns="http://schemas.openxmlformats.org/spreadsheetml/2006/main" count="164" uniqueCount="123">
  <si>
    <t>[Description] Principal Component Analysis (PCA) - Dimensionality reduction by finding directions of maximum variance</t>
  </si>
  <si>
    <t>PCA Worksheet - Hand Calculation</t>
  </si>
  <si>
    <t>Learning Objectives:</t>
  </si>
  <si>
    <t>1. Standardize variables to have mean 0 and standard deviation 1</t>
  </si>
  <si>
    <t>2. Calculate the correlation matrix from standardized data</t>
  </si>
  <si>
    <t>3. Find eigenvalues and eigenvectors of the correlation matrix</t>
  </si>
  <si>
    <t>4. Project data onto principal components</t>
  </si>
  <si>
    <t>5. Understand variance explained by each component</t>
  </si>
  <si>
    <t>PCA Steps:</t>
  </si>
  <si>
    <t>Step 1:</t>
  </si>
  <si>
    <t>Standardize: z = (x - μ) / σ</t>
  </si>
  <si>
    <t>Step 2:</t>
  </si>
  <si>
    <t>Compute correlation matrix R</t>
  </si>
  <si>
    <t>Step 3:</t>
  </si>
  <si>
    <t>Find eigenvalues (λ) and eigenvectors (v) of R</t>
  </si>
  <si>
    <t>Step 4:</t>
  </si>
  <si>
    <t>Principal components = eigenvectors sorted by eigenvalue</t>
  </si>
  <si>
    <t>Step 5:</t>
  </si>
  <si>
    <t>Project data: PC scores = Z × V</t>
  </si>
  <si>
    <t>Key Formulas:</t>
  </si>
  <si>
    <t>• Standardization: zᵢⱼ = (xᵢⱼ - x̄ⱼ) / sⱼ</t>
  </si>
  <si>
    <t>• Correlation matrix: R = (1/(n-1)) × ZᵀZ</t>
  </si>
  <si>
    <t>• Eigenvalue equation: Rv = λv</t>
  </si>
  <si>
    <t>• PC scores: PCᵢ = Σⱼ(zᵢⱼ × vⱼ)</t>
  </si>
  <si>
    <t>• Variance explained: λₖ / Σλ</t>
  </si>
  <si>
    <t>• Cumulative variance: Σₖλₖ / Σλ</t>
  </si>
  <si>
    <t>Color Guide:</t>
  </si>
  <si>
    <t>Given Data (Input)</t>
  </si>
  <si>
    <t>Intermediate Calculations</t>
  </si>
  <si>
    <t>Your Answer (Fill In)</t>
  </si>
  <si>
    <t>Correct Answer</t>
  </si>
  <si>
    <t>Incorrect Answer</t>
  </si>
  <si>
    <t>[Description] Original 2D data with 4 samples. We will reduce to 1D while preserving maximum variance.</t>
  </si>
  <si>
    <t>ORIGINAL DATA (2 variables, 4 samples)</t>
  </si>
  <si>
    <t>Sample</t>
  </si>
  <si>
    <t>X₁</t>
  </si>
  <si>
    <t>X₂</t>
  </si>
  <si>
    <t>S1</t>
  </si>
  <si>
    <t>S2</t>
  </si>
  <si>
    <t>S3</t>
  </si>
  <si>
    <t>S4</t>
  </si>
  <si>
    <t>STEP 1a: Calculate Means</t>
  </si>
  <si>
    <t>μ₁ = ΣX₁/n =</t>
  </si>
  <si>
    <t>(4+2+6+4) / 4 =</t>
  </si>
  <si>
    <t>Your Answer:</t>
  </si>
  <si>
    <t>μ₂ = ΣX₂/n =</t>
  </si>
  <si>
    <t>(5+3+7+5) / 4 =</t>
  </si>
  <si>
    <t>STEP 1b: Calculate Sample Standard Deviations</t>
  </si>
  <si>
    <t>Formula: σ = √[Σ(Xᵢ-μ)²/(n-1)]</t>
  </si>
  <si>
    <t>σ₁ =</t>
  </si>
  <si>
    <t>σ₂ =</t>
  </si>
  <si>
    <t>[Description] STEP 2: Standardize data so each variable has mean=0 and std=1</t>
  </si>
  <si>
    <t>ENTER YOUR RESULTS FROM STEP 1:</t>
  </si>
  <si>
    <t>μ₁ =</t>
  </si>
  <si>
    <t>μ₂ =</t>
  </si>
  <si>
    <t>STANDARDIZATION: Zᵢⱼ = (Xᵢⱼ - μⱼ) / σⱼ</t>
  </si>
  <si>
    <t>Z₁=(X₁-μ₁)/σ₁</t>
  </si>
  <si>
    <t>Z₂=(X₂-μ₂)/σ₂</t>
  </si>
  <si>
    <t>VERIFY: Sum of Z values should be ≈ 0</t>
  </si>
  <si>
    <t>ΣZ₁ =</t>
  </si>
  <si>
    <t>ΣZ₂ =</t>
  </si>
  <si>
    <t>[Description] STEP 3: Calculate correlation matrix from standardized data</t>
  </si>
  <si>
    <t>CORRELATION FORMULA: r₁₂ = Σ(Z₁ᵢ × Z₂ᵢ) / (n-1)</t>
  </si>
  <si>
    <t>Z₁</t>
  </si>
  <si>
    <t>Z₂</t>
  </si>
  <si>
    <t>Z₁ × Z₂</t>
  </si>
  <si>
    <t>SUM</t>
  </si>
  <si>
    <t>r₁₂ = Σ(Z₁×Z₂)/(n-1) =</t>
  </si>
  <si>
    <t>CORRELATION MATRIX R:</t>
  </si>
  <si>
    <t>[Description] STEP 4: Find eigenvalues and eigenvectors of 2×2 correlation matrix</t>
  </si>
  <si>
    <t>For 2×2 correlation matrix R = [[1, r], [r, 1]]:</t>
  </si>
  <si>
    <t>EIGENVALUE FORMULA (2×2 case):</t>
  </si>
  <si>
    <t>λ₁ = 1 + r</t>
  </si>
  <si>
    <t>λ₂ = 1 - r</t>
  </si>
  <si>
    <t>Enter your r value:</t>
  </si>
  <si>
    <t>Calculate λ₁ = 1 + r =</t>
  </si>
  <si>
    <t>Calculate λ₂ = 1 - r =</t>
  </si>
  <si>
    <t>EIGENVECTORS (for 2×2 correlation matrix):</t>
  </si>
  <si>
    <t>v₁ (for λ₁) = [1/√2, 1/√2]ᵀ ≈ [0.707, 0.707]ᵀ</t>
  </si>
  <si>
    <t>v₂ (for λ₂) = [1/√2, -1/√2]ᵀ ≈ [0.707, -0.707]ᵀ</t>
  </si>
  <si>
    <t>VARIANCE EXPLAINED:</t>
  </si>
  <si>
    <t>Total variance = λ₁ + λ₂ =</t>
  </si>
  <si>
    <t>(should = 2 for 2 variables)</t>
  </si>
  <si>
    <t>% by PC1 = λ₁/(λ₁+λ₂) × 100 =</t>
  </si>
  <si>
    <t>% by PC2 = λ₂/(λ₁+λ₂) × 100 =</t>
  </si>
  <si>
    <t>[Description] STEP 5: Project standardized data onto principal components to get PC scores. This is the final step of PCA.</t>
  </si>
  <si>
    <t>PC SCORES: Project Z onto eigenvectors</t>
  </si>
  <si>
    <t>Formula: PC_score = Z × V (matrix multiplication)</t>
  </si>
  <si>
    <t>For each sample: PC1_score = Z₁×v₁₁ + Z₂×v₁₂</t>
  </si>
  <si>
    <t xml:space="preserve">                 PC2_score = Z₁×v₂₁ + Z₂×v₂₂</t>
  </si>
  <si>
    <t>EIGENVECTORS (from Step 4):</t>
  </si>
  <si>
    <t>v₁ = [0.707, 0.707]ᵀ  (for PC1)</t>
  </si>
  <si>
    <t>v₂ = [0.707, -0.707]ᵀ (for PC2)</t>
  </si>
  <si>
    <t>ENTER YOUR Z VALUES FROM STEP 2:</t>
  </si>
  <si>
    <t>PC1 Score</t>
  </si>
  <si>
    <t>PC2 Score</t>
  </si>
  <si>
    <t>VERIFY: PC scores should have variance equal to eigenvalues</t>
  </si>
  <si>
    <t>Var(PC1) should ≈ λ₁ = 2</t>
  </si>
  <si>
    <t>Var(PC2) should ≈ λ₂ = 0</t>
  </si>
  <si>
    <t>INTERPRETATION:</t>
  </si>
  <si>
    <t>Since λ₂ = 0, PC2 has no variance (all PC2 scores are 0).</t>
  </si>
  <si>
    <t>This means 100% of the variance is captured by PC1.</t>
  </si>
  <si>
    <t>The data can be perfectly represented in 1 dimension!</t>
  </si>
  <si>
    <t>[Description] ANSWER KEY - All solutions for verification</t>
  </si>
  <si>
    <t>ANSWER KEY</t>
  </si>
  <si>
    <t>STEP 1: Basic Statistics</t>
  </si>
  <si>
    <t>μ₁</t>
  </si>
  <si>
    <t>μ₂</t>
  </si>
  <si>
    <t>σ₁</t>
  </si>
  <si>
    <t>σ₂</t>
  </si>
  <si>
    <t>STEP 2: Standardized Values</t>
  </si>
  <si>
    <t>STEP 3: Correlation</t>
  </si>
  <si>
    <t>r₁₂ =</t>
  </si>
  <si>
    <t>STEP 4: Eigenvalues</t>
  </si>
  <si>
    <t>λ₁ =</t>
  </si>
  <si>
    <t>λ₂ =</t>
  </si>
  <si>
    <t>% Variance by PC1 =</t>
  </si>
  <si>
    <t>100.0%</t>
  </si>
  <si>
    <t>% Variance by PC2 =</t>
  </si>
  <si>
    <t>0.0%</t>
  </si>
  <si>
    <t>STEP 5: PC Scores</t>
  </si>
  <si>
    <t>PC1</t>
  </si>
  <si>
    <t>PC2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</si>
</sst>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rgb="FF505050"/>
      <name val="Calibri"/>
    </font>
    <font/>
    <font>
      <sz val="11.0"/>
      <color theme="1"/>
      <name val="Calibri"/>
    </font>
    <font>
      <b/>
      <sz val="14.0"/>
      <color rgb="FF4472C4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sz val="11.0"/>
      <color rgb="FF505050"/>
      <name val="Cambria"/>
    </font>
    <font>
      <b/>
      <sz val="11.0"/>
      <color theme="1"/>
      <name val="Cambria"/>
    </font>
    <font>
      <b/>
      <sz val="11.0"/>
      <color rgb="FFFFFFFF"/>
      <name val="Cambria"/>
    </font>
    <font>
      <sz val="11.0"/>
      <color rgb="FFFFFFFF"/>
      <name val="Calibri"/>
    </font>
    <font>
      <b/>
      <sz val="14.0"/>
      <color rgb="FF4472C4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4" fillId="3" fontId="7" numFmtId="0" xfId="0" applyAlignment="1" applyBorder="1" applyFill="1" applyFont="1">
      <alignment vertical="bottom"/>
    </xf>
    <xf borderId="4" fillId="3" fontId="3" numFmtId="0" xfId="0" applyAlignment="1" applyBorder="1" applyFont="1">
      <alignment vertical="bottom"/>
    </xf>
    <xf borderId="0" fillId="0" fontId="8" numFmtId="0" xfId="0" applyFont="1"/>
    <xf borderId="4" fillId="4" fontId="3" numFmtId="0" xfId="0" applyAlignment="1" applyBorder="1" applyFill="1" applyFont="1">
      <alignment vertical="bottom"/>
    </xf>
    <xf borderId="4" fillId="5" fontId="3" numFmtId="0" xfId="0" applyAlignment="1" applyBorder="1" applyFill="1" applyFont="1">
      <alignment vertical="bottom"/>
    </xf>
    <xf borderId="4" fillId="6" fontId="3" numFmtId="0" xfId="0" applyAlignment="1" applyBorder="1" applyFill="1" applyFont="1">
      <alignment vertical="bottom"/>
    </xf>
    <xf borderId="4" fillId="7" fontId="3" numFmtId="0" xfId="0" applyAlignment="1" applyBorder="1" applyFill="1" applyFont="1">
      <alignment vertical="bottom"/>
    </xf>
    <xf borderId="4" fillId="8" fontId="3" numFmtId="0" xfId="0" applyAlignment="1" applyBorder="1" applyFill="1" applyFont="1">
      <alignment vertical="bottom"/>
    </xf>
    <xf borderId="1" fillId="2" fontId="9" numFmtId="0" xfId="0" applyAlignment="1" applyBorder="1" applyFont="1">
      <alignment vertical="bottom"/>
    </xf>
    <xf borderId="4" fillId="3" fontId="10" numFmtId="0" xfId="0" applyAlignment="1" applyBorder="1" applyFont="1">
      <alignment vertical="bottom"/>
    </xf>
    <xf borderId="5" fillId="9" fontId="11" numFmtId="0" xfId="0" applyAlignment="1" applyBorder="1" applyFill="1" applyFont="1">
      <alignment horizontal="center" vertical="center"/>
    </xf>
    <xf borderId="5" fillId="9" fontId="12" numFmtId="0" xfId="0" applyAlignment="1" applyBorder="1" applyFont="1">
      <alignment horizontal="center" vertical="center"/>
    </xf>
    <xf borderId="5" fillId="4" fontId="3" numFmtId="0" xfId="0" applyAlignment="1" applyBorder="1" applyFont="1">
      <alignment horizontal="center" vertical="center"/>
    </xf>
    <xf borderId="4" fillId="10" fontId="10" numFmtId="0" xfId="0" applyAlignment="1" applyBorder="1" applyFill="1" applyFont="1">
      <alignment vertical="bottom"/>
    </xf>
    <xf borderId="0" fillId="0" fontId="3" numFmtId="0" xfId="0" applyAlignment="1" applyFont="1">
      <alignment horizontal="right" vertical="bottom"/>
    </xf>
    <xf borderId="5" fillId="6" fontId="3" numFmtId="0" xfId="0" applyAlignment="1" applyBorder="1" applyFont="1">
      <alignment vertical="bottom"/>
    </xf>
    <xf borderId="5" fillId="5" fontId="3" numFmtId="0" xfId="0" applyAlignment="1" applyBorder="1" applyFont="1">
      <alignment vertical="bottom"/>
    </xf>
    <xf borderId="5" fillId="6" fontId="3" numFmtId="0" xfId="0" applyAlignment="1" applyBorder="1" applyFont="1">
      <alignment horizontal="center" vertical="center"/>
    </xf>
    <xf borderId="0" fillId="0" fontId="10" numFmtId="0" xfId="0" applyAlignment="1" applyFont="1">
      <alignment vertical="bottom"/>
    </xf>
    <xf borderId="5" fillId="5" fontId="3" numFmtId="0" xfId="0" applyAlignment="1" applyBorder="1" applyFont="1">
      <alignment horizontal="center" vertical="center"/>
    </xf>
    <xf borderId="5" fillId="10" fontId="10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bottom"/>
    </xf>
    <xf borderId="5" fillId="9" fontId="11" numFmtId="0" xfId="0" applyAlignment="1" applyBorder="1" applyFont="1">
      <alignment horizontal="center" vertical="bottom"/>
    </xf>
    <xf borderId="4" fillId="2" fontId="9" numFmtId="0" xfId="0" applyAlignment="1" applyBorder="1" applyFont="1">
      <alignment vertical="bottom"/>
    </xf>
    <xf borderId="5" fillId="9" fontId="12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5" fillId="7" fontId="3" numFmtId="0" xfId="0" applyAlignment="1" applyBorder="1" applyFont="1">
      <alignment horizontal="center" vertical="bottom"/>
    </xf>
    <xf borderId="5" fillId="7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50.0"/>
    <col customWidth="1" min="3" max="6" width="8.71"/>
  </cols>
  <sheetData>
    <row r="1" ht="15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6" t="s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7" t="s">
        <v>2</v>
      </c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5" t="s">
        <v>3</v>
      </c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5" t="s">
        <v>4</v>
      </c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5" t="s">
        <v>5</v>
      </c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" t="s">
        <v>6</v>
      </c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5" t="s">
        <v>7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7" t="s">
        <v>8</v>
      </c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 t="s">
        <v>9</v>
      </c>
      <c r="B16" s="9" t="s">
        <v>10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 t="s">
        <v>11</v>
      </c>
      <c r="B17" s="10" t="s">
        <v>12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 t="s">
        <v>13</v>
      </c>
      <c r="B18" s="9" t="s">
        <v>14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 t="s">
        <v>15</v>
      </c>
      <c r="B19" s="9" t="s">
        <v>16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 t="s">
        <v>17</v>
      </c>
      <c r="B20" s="9" t="s">
        <v>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1" t="s">
        <v>19</v>
      </c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20</v>
      </c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5" t="s">
        <v>21</v>
      </c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5" t="s">
        <v>22</v>
      </c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5" t="s">
        <v>23</v>
      </c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" t="s">
        <v>24</v>
      </c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5" t="s">
        <v>25</v>
      </c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 t="s">
        <v>26</v>
      </c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2"/>
      <c r="B33" s="5" t="s">
        <v>27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3"/>
      <c r="B34" s="5" t="s">
        <v>28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4"/>
      <c r="B35" s="5" t="s">
        <v>29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5"/>
      <c r="B36" s="5" t="s">
        <v>30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6"/>
      <c r="B37" s="5" t="s">
        <v>31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A3:F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6.0"/>
    <col customWidth="1" min="6" max="6" width="8.71"/>
  </cols>
  <sheetData>
    <row r="1" ht="15.0" customHeight="1">
      <c r="A1" s="17" t="s">
        <v>32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8" t="s">
        <v>33</v>
      </c>
      <c r="B3" s="5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5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9" t="s">
        <v>34</v>
      </c>
      <c r="B5" s="19" t="s">
        <v>35</v>
      </c>
      <c r="C5" s="19" t="s">
        <v>36</v>
      </c>
      <c r="D5" s="5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0" t="s">
        <v>37</v>
      </c>
      <c r="B6" s="21">
        <v>4.0</v>
      </c>
      <c r="C6" s="21">
        <v>5.0</v>
      </c>
      <c r="D6" s="5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0" t="s">
        <v>38</v>
      </c>
      <c r="B7" s="21">
        <v>2.0</v>
      </c>
      <c r="C7" s="21">
        <v>3.0</v>
      </c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0" t="s">
        <v>39</v>
      </c>
      <c r="B8" s="21">
        <v>6.0</v>
      </c>
      <c r="C8" s="21">
        <v>7.0</v>
      </c>
      <c r="D8" s="5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0" t="s">
        <v>40</v>
      </c>
      <c r="B9" s="21">
        <v>4.0</v>
      </c>
      <c r="C9" s="21">
        <v>5.0</v>
      </c>
      <c r="D9" s="5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5"/>
      <c r="C10" s="5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5"/>
      <c r="C11" s="5"/>
      <c r="D11" s="5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2" t="s">
        <v>41</v>
      </c>
      <c r="B12" s="5"/>
      <c r="C12" s="5"/>
      <c r="D12" s="5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/>
      <c r="B13" s="5"/>
      <c r="C13" s="5"/>
      <c r="D13" s="5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3" t="s">
        <v>42</v>
      </c>
      <c r="B14" s="23" t="s">
        <v>43</v>
      </c>
      <c r="C14" s="23" t="s">
        <v>44</v>
      </c>
      <c r="D14" s="24"/>
      <c r="E14" s="5" t="str">
        <f>IF(D14=4,"✓","✗")</f>
        <v>✗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3" t="s">
        <v>45</v>
      </c>
      <c r="B15" s="23" t="s">
        <v>46</v>
      </c>
      <c r="C15" s="23" t="s">
        <v>44</v>
      </c>
      <c r="D15" s="24"/>
      <c r="E15" s="5" t="str">
        <f>IF(D15=5,"✓","✗")</f>
        <v>✗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  <c r="B16" s="5"/>
      <c r="C16" s="5"/>
      <c r="D16" s="5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5"/>
      <c r="C17" s="5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2" t="s">
        <v>47</v>
      </c>
      <c r="B18" s="5"/>
      <c r="C18" s="5"/>
      <c r="D18" s="5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/>
      <c r="B19" s="5"/>
      <c r="C19" s="5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0" t="s">
        <v>48</v>
      </c>
      <c r="B20" s="5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/>
      <c r="B21" s="5"/>
      <c r="C21" s="5"/>
      <c r="D21" s="5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3" t="s">
        <v>49</v>
      </c>
      <c r="B22" s="23" t="s">
        <v>44</v>
      </c>
      <c r="C22" s="24"/>
      <c r="D22" s="5" t="str">
        <f t="shared" ref="D22:D23" si="1">IF(ABS(C22-1.633)&lt;0.01,"✓","✗")</f>
        <v>✗</v>
      </c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23" t="s">
        <v>50</v>
      </c>
      <c r="B23" s="23" t="s">
        <v>44</v>
      </c>
      <c r="C23" s="24"/>
      <c r="D23" s="5" t="str">
        <f t="shared" si="1"/>
        <v>✗</v>
      </c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/>
      <c r="B24" s="5"/>
      <c r="C24" s="5"/>
      <c r="D24" s="5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/>
      <c r="B25" s="5"/>
      <c r="C25" s="5"/>
      <c r="D25" s="5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/>
      <c r="B26" s="5"/>
      <c r="C26" s="5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5"/>
      <c r="C27" s="5"/>
      <c r="D27" s="5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/>
      <c r="B28" s="5"/>
      <c r="C28" s="5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/>
      <c r="B29" s="5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5"/>
      <c r="C30" s="5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/>
      <c r="B31" s="5"/>
      <c r="C31" s="5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5"/>
      <c r="C32" s="5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/>
      <c r="B33" s="5"/>
      <c r="C33" s="5"/>
      <c r="D33" s="5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5"/>
      <c r="C34" s="5"/>
      <c r="D34" s="5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5"/>
      <c r="C35" s="5"/>
      <c r="D35" s="5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5"/>
      <c r="C36" s="5"/>
      <c r="D36" s="5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/>
      <c r="B37" s="5"/>
      <c r="C37" s="5"/>
      <c r="D37" s="5"/>
      <c r="E37" s="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5"/>
      <c r="C38" s="5"/>
      <c r="D38" s="5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/>
      <c r="B39" s="5"/>
      <c r="C39" s="5"/>
      <c r="D39" s="5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5"/>
      <c r="D40" s="5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5"/>
      <c r="D41" s="5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5"/>
      <c r="D42" s="5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5"/>
      <c r="D43" s="5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5"/>
      <c r="D44" s="5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5"/>
      <c r="D45" s="5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5"/>
      <c r="D46" s="5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5"/>
      <c r="D47" s="5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5"/>
      <c r="D48" s="5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5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5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5"/>
      <c r="D51" s="5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5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5"/>
      <c r="D53" s="5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5"/>
      <c r="D55" s="5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5"/>
      <c r="D56" s="5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5"/>
      <c r="D57" s="5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5"/>
      <c r="D58" s="5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5"/>
      <c r="D59" s="5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5"/>
      <c r="D60" s="5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5"/>
      <c r="D61" s="5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5"/>
      <c r="D62" s="5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5"/>
      <c r="D63" s="5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5"/>
      <c r="D64" s="5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5"/>
      <c r="D65" s="5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5"/>
      <c r="D66" s="5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5"/>
      <c r="D67" s="5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5"/>
      <c r="D68" s="5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5"/>
      <c r="D69" s="5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5"/>
      <c r="D70" s="5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5"/>
      <c r="D71" s="5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5"/>
      <c r="D72" s="5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5"/>
      <c r="D73" s="5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5"/>
      <c r="D74" s="5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5"/>
      <c r="D75" s="5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5"/>
      <c r="D76" s="5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5"/>
      <c r="D77" s="5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5"/>
      <c r="D78" s="5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5"/>
      <c r="D79" s="5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5"/>
      <c r="D80" s="5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5"/>
      <c r="D81" s="5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5"/>
      <c r="D82" s="5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5"/>
      <c r="D83" s="5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5"/>
      <c r="D84" s="5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5"/>
      <c r="D85" s="5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5"/>
      <c r="D86" s="5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5"/>
      <c r="D87" s="5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5"/>
      <c r="D88" s="5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5"/>
      <c r="D89" s="5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5"/>
      <c r="D90" s="5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5"/>
      <c r="D91" s="5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5"/>
      <c r="D92" s="5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5"/>
      <c r="D93" s="5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5"/>
      <c r="D94" s="5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5"/>
      <c r="D95" s="5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5"/>
      <c r="D96" s="5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5"/>
      <c r="D97" s="5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5"/>
      <c r="D98" s="5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5"/>
      <c r="D99" s="5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5"/>
      <c r="D100" s="5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5"/>
      <c r="D101" s="5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5"/>
      <c r="D102" s="5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5"/>
      <c r="D103" s="5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5"/>
      <c r="D104" s="5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5"/>
      <c r="D105" s="5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5"/>
      <c r="D106" s="5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5"/>
      <c r="D107" s="5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5"/>
      <c r="D108" s="5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5"/>
      <c r="D109" s="5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5"/>
      <c r="D110" s="5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5"/>
      <c r="D111" s="5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5"/>
      <c r="D112" s="5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5"/>
      <c r="D113" s="5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5"/>
      <c r="D114" s="5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5"/>
      <c r="D115" s="5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5"/>
      <c r="D116" s="5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5"/>
      <c r="D117" s="5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5"/>
      <c r="D118" s="5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5"/>
      <c r="D119" s="5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5"/>
      <c r="D120" s="5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5"/>
      <c r="D121" s="5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5"/>
      <c r="D122" s="5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5"/>
      <c r="D123" s="5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5"/>
      <c r="D124" s="5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5"/>
      <c r="D125" s="5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5"/>
      <c r="D126" s="5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5"/>
      <c r="D127" s="5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5"/>
      <c r="D128" s="5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5"/>
      <c r="D129" s="5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5"/>
      <c r="D130" s="5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5"/>
      <c r="D131" s="5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5"/>
      <c r="D132" s="5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5"/>
      <c r="D133" s="5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5"/>
      <c r="D134" s="5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5"/>
      <c r="D135" s="5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5"/>
      <c r="D136" s="5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5"/>
      <c r="D137" s="5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5"/>
      <c r="D138" s="5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5"/>
      <c r="D139" s="5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5"/>
      <c r="D140" s="5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5"/>
      <c r="D141" s="5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5"/>
      <c r="D142" s="5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5"/>
      <c r="D143" s="5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5"/>
      <c r="D144" s="5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5"/>
      <c r="D145" s="5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5"/>
      <c r="D146" s="5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5"/>
      <c r="D147" s="5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5"/>
      <c r="D148" s="5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5"/>
      <c r="D149" s="5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5"/>
      <c r="D150" s="5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5"/>
      <c r="D151" s="5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5"/>
      <c r="D152" s="5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5"/>
      <c r="D153" s="5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5"/>
      <c r="D154" s="5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5"/>
      <c r="D155" s="5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5"/>
      <c r="D156" s="5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5"/>
      <c r="D157" s="5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5"/>
      <c r="D158" s="5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5"/>
      <c r="D159" s="5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5"/>
      <c r="D160" s="5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5"/>
      <c r="D161" s="5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5"/>
      <c r="D162" s="5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5"/>
      <c r="D163" s="5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5"/>
      <c r="D164" s="5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5"/>
      <c r="D165" s="5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5"/>
      <c r="D166" s="5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5"/>
      <c r="D167" s="5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5"/>
      <c r="D168" s="5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5"/>
      <c r="D169" s="5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5"/>
      <c r="D170" s="5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5"/>
      <c r="D171" s="5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5"/>
      <c r="D172" s="5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5"/>
      <c r="D173" s="5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5"/>
      <c r="D174" s="5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5"/>
      <c r="D175" s="5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5"/>
      <c r="D176" s="5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5"/>
      <c r="D177" s="5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5"/>
      <c r="D178" s="5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5"/>
      <c r="D179" s="5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5"/>
      <c r="D180" s="5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5"/>
      <c r="D181" s="5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5"/>
      <c r="D182" s="5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5"/>
      <c r="D183" s="5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5"/>
      <c r="D184" s="5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5"/>
      <c r="D185" s="5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5"/>
      <c r="D186" s="5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5"/>
      <c r="D187" s="5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5"/>
      <c r="D188" s="5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5"/>
      <c r="D189" s="5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5"/>
      <c r="D190" s="5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5"/>
      <c r="D191" s="5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5"/>
      <c r="D192" s="5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5"/>
      <c r="D193" s="5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5"/>
      <c r="D194" s="5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5"/>
      <c r="D195" s="5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5"/>
      <c r="D196" s="5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5"/>
      <c r="D197" s="5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5"/>
      <c r="D198" s="5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5"/>
      <c r="D199" s="5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5"/>
      <c r="D200" s="5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5"/>
      <c r="D201" s="5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5"/>
      <c r="D202" s="5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5"/>
      <c r="D203" s="5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5"/>
      <c r="D204" s="5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5"/>
      <c r="D205" s="5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5"/>
      <c r="D206" s="5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5"/>
      <c r="D207" s="5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5"/>
      <c r="D208" s="5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5"/>
      <c r="D209" s="5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5"/>
      <c r="D210" s="5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5"/>
      <c r="D211" s="5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5"/>
      <c r="D212" s="5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5"/>
      <c r="D213" s="5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5"/>
      <c r="D214" s="5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5"/>
      <c r="D215" s="5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5"/>
      <c r="D216" s="5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5"/>
      <c r="D217" s="5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5"/>
      <c r="D218" s="5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5"/>
      <c r="D219" s="5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5"/>
      <c r="D220" s="5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5"/>
      <c r="D221" s="5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5"/>
      <c r="C222" s="5"/>
      <c r="D222" s="5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5"/>
      <c r="C223" s="5"/>
      <c r="D223" s="5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6" width="8.71"/>
  </cols>
  <sheetData>
    <row r="1" ht="15.0" customHeight="1">
      <c r="A1" s="17" t="s">
        <v>51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8" t="s">
        <v>52</v>
      </c>
      <c r="B3" s="5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5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23" t="s">
        <v>53</v>
      </c>
      <c r="B5" s="25"/>
      <c r="C5" s="23" t="s">
        <v>49</v>
      </c>
      <c r="D5" s="25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3" t="s">
        <v>54</v>
      </c>
      <c r="B6" s="25"/>
      <c r="C6" s="23" t="s">
        <v>50</v>
      </c>
      <c r="D6" s="25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/>
      <c r="B7" s="5"/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5"/>
      <c r="C8" s="5"/>
      <c r="D8" s="5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2" t="s">
        <v>55</v>
      </c>
      <c r="B9" s="5"/>
      <c r="C9" s="5"/>
      <c r="D9" s="5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5"/>
      <c r="C10" s="5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9" t="s">
        <v>34</v>
      </c>
      <c r="B11" s="19" t="s">
        <v>35</v>
      </c>
      <c r="C11" s="19" t="s">
        <v>56</v>
      </c>
      <c r="D11" s="19" t="s">
        <v>36</v>
      </c>
      <c r="E11" s="19" t="s">
        <v>57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0" t="s">
        <v>37</v>
      </c>
      <c r="B12" s="21">
        <v>4.0</v>
      </c>
      <c r="C12" s="26"/>
      <c r="D12" s="21">
        <v>5.0</v>
      </c>
      <c r="E12" s="2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0" t="s">
        <v>38</v>
      </c>
      <c r="B13" s="21">
        <v>2.0</v>
      </c>
      <c r="C13" s="26"/>
      <c r="D13" s="21">
        <v>3.0</v>
      </c>
      <c r="E13" s="26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0" t="s">
        <v>39</v>
      </c>
      <c r="B14" s="21">
        <v>6.0</v>
      </c>
      <c r="C14" s="26"/>
      <c r="D14" s="21">
        <v>7.0</v>
      </c>
      <c r="E14" s="26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0" t="s">
        <v>40</v>
      </c>
      <c r="B15" s="21">
        <v>4.0</v>
      </c>
      <c r="C15" s="26"/>
      <c r="D15" s="21">
        <v>5.0</v>
      </c>
      <c r="E15" s="26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  <c r="B16" s="5"/>
      <c r="C16" s="5"/>
      <c r="D16" s="5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5"/>
      <c r="C17" s="5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7" t="s">
        <v>58</v>
      </c>
      <c r="B18" s="5"/>
      <c r="C18" s="5"/>
      <c r="D18" s="5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3" t="s">
        <v>59</v>
      </c>
      <c r="B19" s="24"/>
      <c r="C19" s="5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23" t="s">
        <v>60</v>
      </c>
      <c r="B20" s="24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/>
      <c r="B21" s="5"/>
      <c r="C21" s="5"/>
      <c r="D21" s="5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/>
      <c r="B22" s="5"/>
      <c r="C22" s="5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/>
      <c r="B23" s="5"/>
      <c r="C23" s="5"/>
      <c r="D23" s="5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/>
      <c r="B24" s="5"/>
      <c r="C24" s="5"/>
      <c r="D24" s="5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/>
      <c r="B25" s="5"/>
      <c r="C25" s="5"/>
      <c r="D25" s="5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/>
      <c r="B26" s="5"/>
      <c r="C26" s="5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5"/>
      <c r="C27" s="5"/>
      <c r="D27" s="5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/>
      <c r="B28" s="5"/>
      <c r="C28" s="5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/>
      <c r="B29" s="5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5"/>
      <c r="C30" s="5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/>
      <c r="B31" s="5"/>
      <c r="C31" s="5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5"/>
      <c r="C32" s="5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/>
      <c r="B33" s="5"/>
      <c r="C33" s="5"/>
      <c r="D33" s="5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5"/>
      <c r="C34" s="5"/>
      <c r="D34" s="5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5"/>
      <c r="C35" s="5"/>
      <c r="D35" s="5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5"/>
      <c r="C36" s="5"/>
      <c r="D36" s="5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/>
      <c r="B37" s="5"/>
      <c r="C37" s="5"/>
      <c r="D37" s="5"/>
      <c r="E37" s="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5"/>
      <c r="C38" s="5"/>
      <c r="D38" s="5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/>
      <c r="B39" s="5"/>
      <c r="C39" s="5"/>
      <c r="D39" s="5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5"/>
      <c r="D40" s="5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5"/>
      <c r="D41" s="5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5"/>
      <c r="D42" s="5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5"/>
      <c r="D43" s="5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5"/>
      <c r="D44" s="5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5"/>
      <c r="D45" s="5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5"/>
      <c r="D46" s="5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5"/>
      <c r="D47" s="5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5"/>
      <c r="D48" s="5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5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5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5"/>
      <c r="D51" s="5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5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5"/>
      <c r="D53" s="5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5"/>
      <c r="D55" s="5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5"/>
      <c r="D56" s="5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5"/>
      <c r="D57" s="5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5"/>
      <c r="D58" s="5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5"/>
      <c r="D59" s="5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5"/>
      <c r="D60" s="5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5"/>
      <c r="D61" s="5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5"/>
      <c r="D62" s="5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5"/>
      <c r="D63" s="5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5"/>
      <c r="D64" s="5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5"/>
      <c r="D65" s="5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5"/>
      <c r="D66" s="5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5"/>
      <c r="D67" s="5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5"/>
      <c r="D68" s="5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5"/>
      <c r="D69" s="5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5"/>
      <c r="D70" s="5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5"/>
      <c r="D71" s="5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5"/>
      <c r="D72" s="5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5"/>
      <c r="D73" s="5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5"/>
      <c r="D74" s="5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5"/>
      <c r="D75" s="5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5"/>
      <c r="D76" s="5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5"/>
      <c r="D77" s="5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5"/>
      <c r="D78" s="5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5"/>
      <c r="D79" s="5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5"/>
      <c r="D80" s="5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5"/>
      <c r="D81" s="5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5"/>
      <c r="D82" s="5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5"/>
      <c r="D83" s="5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5"/>
      <c r="D84" s="5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5"/>
      <c r="D85" s="5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5"/>
      <c r="D86" s="5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5"/>
      <c r="D87" s="5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5"/>
      <c r="D88" s="5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5"/>
      <c r="D89" s="5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5"/>
      <c r="D90" s="5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5"/>
      <c r="D91" s="5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5"/>
      <c r="D92" s="5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5"/>
      <c r="D93" s="5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5"/>
      <c r="D94" s="5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5"/>
      <c r="D95" s="5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5"/>
      <c r="D96" s="5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5"/>
      <c r="D97" s="5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5"/>
      <c r="D98" s="5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5"/>
      <c r="D99" s="5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5"/>
      <c r="D100" s="5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5"/>
      <c r="D101" s="5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5"/>
      <c r="D102" s="5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5"/>
      <c r="D103" s="5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5"/>
      <c r="D104" s="5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5"/>
      <c r="D105" s="5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5"/>
      <c r="D106" s="5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5"/>
      <c r="D107" s="5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5"/>
      <c r="D108" s="5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5"/>
      <c r="D109" s="5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5"/>
      <c r="D110" s="5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5"/>
      <c r="D111" s="5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5"/>
      <c r="D112" s="5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5"/>
      <c r="D113" s="5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5"/>
      <c r="D114" s="5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5"/>
      <c r="D115" s="5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5"/>
      <c r="D116" s="5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5"/>
      <c r="D117" s="5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5"/>
      <c r="D118" s="5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5"/>
      <c r="D119" s="5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5"/>
      <c r="D120" s="5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5"/>
      <c r="D121" s="5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5"/>
      <c r="D122" s="5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5"/>
      <c r="D123" s="5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5"/>
      <c r="D124" s="5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5"/>
      <c r="D125" s="5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5"/>
      <c r="D126" s="5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5"/>
      <c r="D127" s="5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5"/>
      <c r="D128" s="5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5"/>
      <c r="D129" s="5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5"/>
      <c r="D130" s="5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5"/>
      <c r="D131" s="5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5"/>
      <c r="D132" s="5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5"/>
      <c r="D133" s="5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5"/>
      <c r="D134" s="5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5"/>
      <c r="D135" s="5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5"/>
      <c r="D136" s="5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5"/>
      <c r="D137" s="5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5"/>
      <c r="D138" s="5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5"/>
      <c r="D139" s="5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5"/>
      <c r="D140" s="5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5"/>
      <c r="D141" s="5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5"/>
      <c r="D142" s="5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5"/>
      <c r="D143" s="5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5"/>
      <c r="D144" s="5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5"/>
      <c r="D145" s="5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5"/>
      <c r="D146" s="5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5"/>
      <c r="D147" s="5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5"/>
      <c r="D148" s="5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5"/>
      <c r="D149" s="5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5"/>
      <c r="D150" s="5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5"/>
      <c r="D151" s="5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5"/>
      <c r="D152" s="5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5"/>
      <c r="D153" s="5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5"/>
      <c r="D154" s="5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5"/>
      <c r="D155" s="5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5"/>
      <c r="D156" s="5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5"/>
      <c r="D157" s="5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5"/>
      <c r="D158" s="5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5"/>
      <c r="D159" s="5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5"/>
      <c r="D160" s="5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5"/>
      <c r="D161" s="5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5"/>
      <c r="D162" s="5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5"/>
      <c r="D163" s="5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5"/>
      <c r="D164" s="5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5"/>
      <c r="D165" s="5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5"/>
      <c r="D166" s="5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5"/>
      <c r="D167" s="5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5"/>
      <c r="D168" s="5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5"/>
      <c r="D169" s="5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5"/>
      <c r="D170" s="5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5"/>
      <c r="D171" s="5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5"/>
      <c r="D172" s="5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5"/>
      <c r="D173" s="5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5"/>
      <c r="D174" s="5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5"/>
      <c r="D175" s="5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5"/>
      <c r="D176" s="5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5"/>
      <c r="D177" s="5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5"/>
      <c r="D178" s="5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5"/>
      <c r="D179" s="5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5"/>
      <c r="D180" s="5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5"/>
      <c r="D181" s="5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5"/>
      <c r="D182" s="5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5"/>
      <c r="D183" s="5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5"/>
      <c r="D184" s="5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5"/>
      <c r="D185" s="5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5"/>
      <c r="D186" s="5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5"/>
      <c r="D187" s="5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5"/>
      <c r="D188" s="5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5"/>
      <c r="D189" s="5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5"/>
      <c r="D190" s="5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5"/>
      <c r="D191" s="5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5"/>
      <c r="D192" s="5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5"/>
      <c r="D193" s="5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5"/>
      <c r="D194" s="5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5"/>
      <c r="D195" s="5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5"/>
      <c r="D196" s="5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5"/>
      <c r="D197" s="5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5"/>
      <c r="D198" s="5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5"/>
      <c r="D199" s="5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5"/>
      <c r="D200" s="5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5"/>
      <c r="D201" s="5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5"/>
      <c r="D202" s="5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5"/>
      <c r="D203" s="5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5"/>
      <c r="D204" s="5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5"/>
      <c r="D205" s="5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5"/>
      <c r="D206" s="5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5"/>
      <c r="D207" s="5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5"/>
      <c r="D208" s="5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5"/>
      <c r="D209" s="5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5"/>
      <c r="D210" s="5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5"/>
      <c r="D211" s="5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5"/>
      <c r="D212" s="5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5"/>
      <c r="D213" s="5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5"/>
      <c r="D214" s="5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5"/>
      <c r="D215" s="5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5"/>
      <c r="D216" s="5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5"/>
      <c r="D217" s="5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5"/>
      <c r="D218" s="5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5"/>
      <c r="D219" s="5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5"/>
      <c r="D220" s="5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6.0"/>
    <col customWidth="1" min="5" max="6" width="8.71"/>
  </cols>
  <sheetData>
    <row r="1" ht="15.0" customHeight="1">
      <c r="A1" s="17" t="s">
        <v>61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2" t="s">
        <v>62</v>
      </c>
      <c r="B3" s="5"/>
      <c r="C3" s="5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5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9" t="s">
        <v>34</v>
      </c>
      <c r="B5" s="19" t="s">
        <v>63</v>
      </c>
      <c r="C5" s="19" t="s">
        <v>64</v>
      </c>
      <c r="D5" s="19" t="s">
        <v>65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0" t="s">
        <v>37</v>
      </c>
      <c r="B6" s="28"/>
      <c r="C6" s="28"/>
      <c r="D6" s="2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0" t="s">
        <v>38</v>
      </c>
      <c r="B7" s="28"/>
      <c r="C7" s="28"/>
      <c r="D7" s="26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0" t="s">
        <v>39</v>
      </c>
      <c r="B8" s="28"/>
      <c r="C8" s="28"/>
      <c r="D8" s="2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0" t="s">
        <v>40</v>
      </c>
      <c r="B9" s="28"/>
      <c r="C9" s="28"/>
      <c r="D9" s="26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9" t="s">
        <v>66</v>
      </c>
      <c r="B10" s="5"/>
      <c r="C10" s="5"/>
      <c r="D10" s="2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5"/>
      <c r="C11" s="5"/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/>
      <c r="B12" s="5"/>
      <c r="C12" s="5"/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5" t="s">
        <v>67</v>
      </c>
      <c r="B13" s="5" t="s">
        <v>44</v>
      </c>
      <c r="C13" s="24"/>
      <c r="D13" s="5" t="str">
        <f>IF(ABS(C13-1)&lt;0.01,"✓","✗")</f>
        <v>✗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5"/>
      <c r="C14" s="5"/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/>
      <c r="B15" s="5"/>
      <c r="C15" s="5"/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8" t="s">
        <v>68</v>
      </c>
      <c r="B16" s="5"/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5"/>
      <c r="C17" s="5"/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30"/>
      <c r="B18" s="31" t="s">
        <v>35</v>
      </c>
      <c r="C18" s="31" t="s">
        <v>36</v>
      </c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31" t="s">
        <v>35</v>
      </c>
      <c r="B19" s="21">
        <v>1.0</v>
      </c>
      <c r="C19" s="26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31" t="s">
        <v>36</v>
      </c>
      <c r="B20" s="26"/>
      <c r="C20" s="21">
        <v>1.0</v>
      </c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/>
      <c r="B21" s="5"/>
      <c r="C21" s="5"/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/>
      <c r="B22" s="5"/>
      <c r="C22" s="5"/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/>
      <c r="B23" s="5"/>
      <c r="C23" s="5"/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/>
      <c r="B24" s="5"/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/>
      <c r="B25" s="5"/>
      <c r="C25" s="5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/>
      <c r="B26" s="5"/>
      <c r="C26" s="5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5"/>
      <c r="C27" s="5"/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/>
      <c r="B28" s="5"/>
      <c r="C28" s="5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/>
      <c r="B29" s="5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5"/>
      <c r="C30" s="5"/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/>
      <c r="B31" s="5"/>
      <c r="C31" s="5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5"/>
      <c r="C32" s="5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/>
      <c r="B33" s="5"/>
      <c r="C33" s="5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5"/>
      <c r="C34" s="5"/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5"/>
      <c r="C35" s="5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5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/>
      <c r="B37" s="5"/>
      <c r="C37" s="5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5"/>
      <c r="C38" s="5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/>
      <c r="B39" s="5"/>
      <c r="C39" s="5"/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5"/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5"/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5"/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5"/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5"/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5"/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5"/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5"/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5"/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5"/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5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5"/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5"/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5"/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5"/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5"/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5"/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5"/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5"/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5"/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5"/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5"/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5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5"/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5"/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5"/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5"/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5"/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5"/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5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5"/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5"/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5"/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5"/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5"/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5"/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5"/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5"/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5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5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5"/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5"/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5"/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5"/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5"/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5"/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5"/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5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5"/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5"/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5"/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5"/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5"/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5"/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5"/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5"/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5"/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5"/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5"/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5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5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5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5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5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5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5"/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5"/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5"/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5"/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5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5"/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5"/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5"/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5"/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5"/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5"/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5"/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5"/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5"/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5"/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5"/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5"/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5"/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5"/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5"/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5"/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5"/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5"/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5"/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5"/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5"/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5"/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5"/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5"/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5"/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5"/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5"/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5"/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5"/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5"/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5"/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5"/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5"/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5"/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5"/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5"/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5"/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5"/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5"/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5"/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5"/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5"/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5"/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5"/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5"/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5"/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5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5"/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5"/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5"/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5"/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5"/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5"/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5"/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5"/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5"/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5"/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5"/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5"/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5"/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5"/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5"/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5"/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5"/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5"/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5"/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5"/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5"/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5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5"/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5"/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5"/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5"/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5"/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5"/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5"/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5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5"/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5"/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5"/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5"/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5"/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5"/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5"/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5"/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5"/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5"/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5"/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5"/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5"/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5"/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5"/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5"/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5"/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5"/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5"/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5"/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5"/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5"/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5"/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5"/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5"/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5"/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5"/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5"/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0"/>
    <col customWidth="1" min="4" max="6" width="8.71"/>
  </cols>
  <sheetData>
    <row r="1" ht="15.0" customHeight="1">
      <c r="A1" s="17" t="s">
        <v>69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7" t="s">
        <v>70</v>
      </c>
      <c r="B3" s="5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22" t="s">
        <v>71</v>
      </c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0" t="s">
        <v>72</v>
      </c>
      <c r="B7" s="5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0" t="s">
        <v>73</v>
      </c>
      <c r="B8" s="5"/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/>
      <c r="B9" s="5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3" t="s">
        <v>74</v>
      </c>
      <c r="B10" s="25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3" t="s">
        <v>75</v>
      </c>
      <c r="B12" s="24"/>
      <c r="C12" s="5" t="str">
        <f>IF(ABS(B12-2)&lt;0.01,"✓","✗")</f>
        <v>✗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3" t="s">
        <v>76</v>
      </c>
      <c r="B13" s="24"/>
      <c r="C13" s="5" t="str">
        <f>IF(ABS(B13-0)&lt;0.01,"✓","✗")</f>
        <v>✓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5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/>
      <c r="B15" s="5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22" t="s">
        <v>77</v>
      </c>
      <c r="B16" s="5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5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0" t="s">
        <v>78</v>
      </c>
      <c r="B18" s="5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0" t="s">
        <v>79</v>
      </c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2" t="s">
        <v>80</v>
      </c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23" t="s">
        <v>81</v>
      </c>
      <c r="B24" s="24"/>
      <c r="C24" s="5" t="s">
        <v>82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23" t="s">
        <v>83</v>
      </c>
      <c r="B25" s="24"/>
      <c r="C25" s="5" t="str">
        <f>IF(ABS(B25-100)&lt;1,"✓","✗")</f>
        <v>✗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23" t="s">
        <v>84</v>
      </c>
      <c r="B26" s="24"/>
      <c r="C26" s="5" t="str">
        <f>IF(ABS(B26-0)&lt;1,"✓","✗")</f>
        <v>✓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/>
      <c r="B29" s="5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5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5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/>
      <c r="B33" s="5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/>
      <c r="B37" s="5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5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/>
      <c r="B39" s="5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5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5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5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5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5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3" width="12.0"/>
    <col customWidth="1" min="4" max="5" width="25.0"/>
    <col customWidth="1" min="6" max="6" width="8.71"/>
  </cols>
  <sheetData>
    <row r="1" ht="15.0" customHeight="1">
      <c r="A1" s="32" t="s">
        <v>85</v>
      </c>
      <c r="B1" s="5"/>
      <c r="C1" s="5"/>
      <c r="D1" s="5"/>
      <c r="E1" s="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" t="s">
        <v>86</v>
      </c>
      <c r="B3" s="5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5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5" t="s">
        <v>87</v>
      </c>
      <c r="B5" s="5"/>
      <c r="C5" s="5"/>
      <c r="D5" s="5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5" t="s">
        <v>88</v>
      </c>
      <c r="B6" s="5"/>
      <c r="C6" s="5"/>
      <c r="D6" s="5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5" t="s">
        <v>89</v>
      </c>
      <c r="B7" s="5"/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/>
      <c r="B8" s="5"/>
      <c r="C8" s="5"/>
      <c r="D8" s="5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5" t="s">
        <v>90</v>
      </c>
      <c r="B9" s="5"/>
      <c r="C9" s="5"/>
      <c r="D9" s="5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" t="s">
        <v>91</v>
      </c>
      <c r="B10" s="5"/>
      <c r="C10" s="5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5" t="s">
        <v>92</v>
      </c>
      <c r="B11" s="5"/>
      <c r="C11" s="5"/>
      <c r="D11" s="5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/>
      <c r="B12" s="5"/>
      <c r="C12" s="5"/>
      <c r="D12" s="5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5" t="s">
        <v>93</v>
      </c>
      <c r="B13" s="5"/>
      <c r="C13" s="5"/>
      <c r="D13" s="5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5"/>
      <c r="C14" s="5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31" t="s">
        <v>34</v>
      </c>
      <c r="B15" s="31" t="s">
        <v>63</v>
      </c>
      <c r="C15" s="31" t="s">
        <v>64</v>
      </c>
      <c r="D15" s="31" t="s">
        <v>94</v>
      </c>
      <c r="E15" s="31" t="s">
        <v>95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33" t="s">
        <v>37</v>
      </c>
      <c r="B16" s="34"/>
      <c r="C16" s="34"/>
      <c r="D16" s="35"/>
      <c r="E16" s="3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33" t="s">
        <v>38</v>
      </c>
      <c r="B17" s="34"/>
      <c r="C17" s="34"/>
      <c r="D17" s="35"/>
      <c r="E17" s="3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33" t="s">
        <v>39</v>
      </c>
      <c r="B18" s="34"/>
      <c r="C18" s="34"/>
      <c r="D18" s="35"/>
      <c r="E18" s="3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33" t="s">
        <v>40</v>
      </c>
      <c r="B19" s="34"/>
      <c r="C19" s="34"/>
      <c r="D19" s="35"/>
      <c r="E19" s="3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/>
      <c r="B20" s="5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5" t="s">
        <v>96</v>
      </c>
      <c r="B21" s="5"/>
      <c r="C21" s="5"/>
      <c r="D21" s="5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/>
      <c r="B22" s="5"/>
      <c r="C22" s="5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5" t="s">
        <v>97</v>
      </c>
      <c r="B23" s="5"/>
      <c r="C23" s="5"/>
      <c r="D23" s="5"/>
      <c r="E23" s="5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5" t="s">
        <v>98</v>
      </c>
      <c r="B24" s="5"/>
      <c r="C24" s="5"/>
      <c r="D24" s="5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/>
      <c r="B25" s="5"/>
      <c r="C25" s="5"/>
      <c r="D25" s="5"/>
      <c r="E25" s="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5" t="s">
        <v>99</v>
      </c>
      <c r="B26" s="5"/>
      <c r="C26" s="5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5" t="s">
        <v>100</v>
      </c>
      <c r="B27" s="5"/>
      <c r="C27" s="5"/>
      <c r="D27" s="5"/>
      <c r="E27" s="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5" t="s">
        <v>101</v>
      </c>
      <c r="B28" s="5"/>
      <c r="C28" s="5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5" t="s">
        <v>102</v>
      </c>
      <c r="B29" s="5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/>
      <c r="B30" s="5"/>
      <c r="C30" s="5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/>
      <c r="B31" s="5"/>
      <c r="C31" s="5"/>
      <c r="D31" s="5"/>
      <c r="E31" s="5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5"/>
      <c r="C32" s="5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/>
      <c r="B33" s="5"/>
      <c r="C33" s="5"/>
      <c r="D33" s="5"/>
      <c r="E33" s="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5"/>
      <c r="C34" s="5"/>
      <c r="D34" s="5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5"/>
      <c r="C35" s="5"/>
      <c r="D35" s="5"/>
      <c r="E35" s="5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5"/>
      <c r="C36" s="5"/>
      <c r="D36" s="5"/>
      <c r="E36" s="5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/>
      <c r="B37" s="5"/>
      <c r="C37" s="5"/>
      <c r="D37" s="5"/>
      <c r="E37" s="5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5"/>
      <c r="C38" s="5"/>
      <c r="D38" s="5"/>
      <c r="E38" s="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/>
      <c r="B39" s="5"/>
      <c r="C39" s="5"/>
      <c r="D39" s="5"/>
      <c r="E39" s="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5"/>
      <c r="C40" s="5"/>
      <c r="D40" s="5"/>
      <c r="E40" s="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/>
      <c r="B41" s="5"/>
      <c r="C41" s="5"/>
      <c r="D41" s="5"/>
      <c r="E41" s="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5"/>
      <c r="D42" s="5"/>
      <c r="E42" s="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5"/>
      <c r="D43" s="5"/>
      <c r="E43" s="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5"/>
      <c r="D44" s="5"/>
      <c r="E44" s="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5"/>
      <c r="D45" s="5"/>
      <c r="E45" s="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5"/>
      <c r="D46" s="5"/>
      <c r="E46" s="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5"/>
      <c r="D47" s="5"/>
      <c r="E47" s="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5"/>
      <c r="D48" s="5"/>
      <c r="E48" s="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5"/>
      <c r="D49" s="5"/>
      <c r="E49" s="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5"/>
      <c r="D50" s="5"/>
      <c r="E50" s="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5"/>
      <c r="D51" s="5"/>
      <c r="E51" s="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5"/>
      <c r="D52" s="5"/>
      <c r="E52" s="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5"/>
      <c r="D53" s="5"/>
      <c r="E53" s="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5"/>
      <c r="D54" s="5"/>
      <c r="E54" s="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5"/>
      <c r="D55" s="5"/>
      <c r="E55" s="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5"/>
      <c r="D56" s="5"/>
      <c r="E56" s="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5"/>
      <c r="D57" s="5"/>
      <c r="E57" s="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5"/>
      <c r="D58" s="5"/>
      <c r="E58" s="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5"/>
      <c r="D59" s="5"/>
      <c r="E59" s="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5"/>
      <c r="D60" s="5"/>
      <c r="E60" s="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5"/>
      <c r="D61" s="5"/>
      <c r="E61" s="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5"/>
      <c r="D62" s="5"/>
      <c r="E62" s="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5"/>
      <c r="D63" s="5"/>
      <c r="E63" s="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5"/>
      <c r="D64" s="5"/>
      <c r="E64" s="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5"/>
      <c r="D65" s="5"/>
      <c r="E65" s="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5"/>
      <c r="D66" s="5"/>
      <c r="E66" s="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5"/>
      <c r="D67" s="5"/>
      <c r="E67" s="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5"/>
      <c r="D68" s="5"/>
      <c r="E68" s="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5"/>
      <c r="D69" s="5"/>
      <c r="E69" s="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5"/>
      <c r="D70" s="5"/>
      <c r="E70" s="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5"/>
      <c r="D71" s="5"/>
      <c r="E71" s="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5"/>
      <c r="D72" s="5"/>
      <c r="E72" s="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5"/>
      <c r="D73" s="5"/>
      <c r="E73" s="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5"/>
      <c r="D74" s="5"/>
      <c r="E74" s="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5"/>
      <c r="D75" s="5"/>
      <c r="E75" s="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5"/>
      <c r="D76" s="5"/>
      <c r="E76" s="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5"/>
      <c r="D77" s="5"/>
      <c r="E77" s="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5"/>
      <c r="D78" s="5"/>
      <c r="E78" s="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5"/>
      <c r="D79" s="5"/>
      <c r="E79" s="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5"/>
      <c r="D80" s="5"/>
      <c r="E80" s="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5"/>
      <c r="D81" s="5"/>
      <c r="E81" s="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5"/>
      <c r="D82" s="5"/>
      <c r="E82" s="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5"/>
      <c r="D83" s="5"/>
      <c r="E83" s="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5"/>
      <c r="D84" s="5"/>
      <c r="E84" s="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5"/>
      <c r="D85" s="5"/>
      <c r="E85" s="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5"/>
      <c r="D86" s="5"/>
      <c r="E86" s="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5"/>
      <c r="D87" s="5"/>
      <c r="E87" s="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5"/>
      <c r="D88" s="5"/>
      <c r="E88" s="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5"/>
      <c r="D89" s="5"/>
      <c r="E89" s="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5"/>
      <c r="D90" s="5"/>
      <c r="E90" s="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5"/>
      <c r="D91" s="5"/>
      <c r="E91" s="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5"/>
      <c r="D92" s="5"/>
      <c r="E92" s="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5"/>
      <c r="D93" s="5"/>
      <c r="E93" s="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5"/>
      <c r="D94" s="5"/>
      <c r="E94" s="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5"/>
      <c r="D95" s="5"/>
      <c r="E95" s="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5"/>
      <c r="D96" s="5"/>
      <c r="E96" s="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5"/>
      <c r="D97" s="5"/>
      <c r="E97" s="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5"/>
      <c r="D98" s="5"/>
      <c r="E98" s="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5"/>
      <c r="D99" s="5"/>
      <c r="E99" s="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5"/>
      <c r="D100" s="5"/>
      <c r="E100" s="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5"/>
      <c r="D101" s="5"/>
      <c r="E101" s="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5"/>
      <c r="D102" s="5"/>
      <c r="E102" s="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5"/>
      <c r="D103" s="5"/>
      <c r="E103" s="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5"/>
      <c r="D104" s="5"/>
      <c r="E104" s="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5"/>
      <c r="D105" s="5"/>
      <c r="E105" s="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5"/>
      <c r="D106" s="5"/>
      <c r="E106" s="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5"/>
      <c r="D107" s="5"/>
      <c r="E107" s="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5"/>
      <c r="D108" s="5"/>
      <c r="E108" s="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5"/>
      <c r="D109" s="5"/>
      <c r="E109" s="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5"/>
      <c r="D110" s="5"/>
      <c r="E110" s="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5"/>
      <c r="D111" s="5"/>
      <c r="E111" s="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5"/>
      <c r="D112" s="5"/>
      <c r="E112" s="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5"/>
      <c r="D113" s="5"/>
      <c r="E113" s="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5"/>
      <c r="D114" s="5"/>
      <c r="E114" s="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5"/>
      <c r="D115" s="5"/>
      <c r="E115" s="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5"/>
      <c r="D116" s="5"/>
      <c r="E116" s="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5"/>
      <c r="D117" s="5"/>
      <c r="E117" s="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5"/>
      <c r="D118" s="5"/>
      <c r="E118" s="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5"/>
      <c r="D119" s="5"/>
      <c r="E119" s="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5"/>
      <c r="D120" s="5"/>
      <c r="E120" s="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5"/>
      <c r="D121" s="5"/>
      <c r="E121" s="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5"/>
      <c r="D122" s="5"/>
      <c r="E122" s="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5"/>
      <c r="D123" s="5"/>
      <c r="E123" s="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5"/>
      <c r="D124" s="5"/>
      <c r="E124" s="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5"/>
      <c r="D125" s="5"/>
      <c r="E125" s="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5"/>
      <c r="D126" s="5"/>
      <c r="E126" s="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5"/>
      <c r="D127" s="5"/>
      <c r="E127" s="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5"/>
      <c r="D128" s="5"/>
      <c r="E128" s="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5"/>
      <c r="D129" s="5"/>
      <c r="E129" s="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5"/>
      <c r="D130" s="5"/>
      <c r="E130" s="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5"/>
      <c r="D131" s="5"/>
      <c r="E131" s="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5"/>
      <c r="D132" s="5"/>
      <c r="E132" s="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5"/>
      <c r="D133" s="5"/>
      <c r="E133" s="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5"/>
      <c r="D134" s="5"/>
      <c r="E134" s="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5"/>
      <c r="D135" s="5"/>
      <c r="E135" s="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5"/>
      <c r="D136" s="5"/>
      <c r="E136" s="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5"/>
      <c r="D137" s="5"/>
      <c r="E137" s="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5"/>
      <c r="D138" s="5"/>
      <c r="E138" s="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5"/>
      <c r="D139" s="5"/>
      <c r="E139" s="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5"/>
      <c r="D140" s="5"/>
      <c r="E140" s="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5"/>
      <c r="D141" s="5"/>
      <c r="E141" s="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5"/>
      <c r="D142" s="5"/>
      <c r="E142" s="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5"/>
      <c r="D143" s="5"/>
      <c r="E143" s="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5"/>
      <c r="D144" s="5"/>
      <c r="E144" s="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5"/>
      <c r="D145" s="5"/>
      <c r="E145" s="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5"/>
      <c r="D146" s="5"/>
      <c r="E146" s="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5"/>
      <c r="D147" s="5"/>
      <c r="E147" s="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5"/>
      <c r="D148" s="5"/>
      <c r="E148" s="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5"/>
      <c r="D149" s="5"/>
      <c r="E149" s="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5"/>
      <c r="D150" s="5"/>
      <c r="E150" s="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5"/>
      <c r="D151" s="5"/>
      <c r="E151" s="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5"/>
      <c r="D152" s="5"/>
      <c r="E152" s="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5"/>
      <c r="D153" s="5"/>
      <c r="E153" s="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5"/>
      <c r="D154" s="5"/>
      <c r="E154" s="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5"/>
      <c r="D155" s="5"/>
      <c r="E155" s="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5"/>
      <c r="D156" s="5"/>
      <c r="E156" s="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5"/>
      <c r="D157" s="5"/>
      <c r="E157" s="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5"/>
      <c r="D158" s="5"/>
      <c r="E158" s="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5"/>
      <c r="D159" s="5"/>
      <c r="E159" s="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5"/>
      <c r="D160" s="5"/>
      <c r="E160" s="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5"/>
      <c r="D161" s="5"/>
      <c r="E161" s="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5"/>
      <c r="D162" s="5"/>
      <c r="E162" s="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5"/>
      <c r="D163" s="5"/>
      <c r="E163" s="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5"/>
      <c r="D164" s="5"/>
      <c r="E164" s="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5"/>
      <c r="D165" s="5"/>
      <c r="E165" s="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5"/>
      <c r="D166" s="5"/>
      <c r="E166" s="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5"/>
      <c r="D167" s="5"/>
      <c r="E167" s="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5"/>
      <c r="D168" s="5"/>
      <c r="E168" s="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5"/>
      <c r="D169" s="5"/>
      <c r="E169" s="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5"/>
      <c r="D170" s="5"/>
      <c r="E170" s="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5"/>
      <c r="D171" s="5"/>
      <c r="E171" s="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5"/>
      <c r="D172" s="5"/>
      <c r="E172" s="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5"/>
      <c r="D173" s="5"/>
      <c r="E173" s="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5"/>
      <c r="D174" s="5"/>
      <c r="E174" s="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5"/>
      <c r="D175" s="5"/>
      <c r="E175" s="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5"/>
      <c r="D176" s="5"/>
      <c r="E176" s="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5"/>
      <c r="D177" s="5"/>
      <c r="E177" s="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5"/>
      <c r="D178" s="5"/>
      <c r="E178" s="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5"/>
      <c r="D179" s="5"/>
      <c r="E179" s="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5"/>
      <c r="D180" s="5"/>
      <c r="E180" s="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5"/>
      <c r="D181" s="5"/>
      <c r="E181" s="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5"/>
      <c r="D182" s="5"/>
      <c r="E182" s="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5"/>
      <c r="D183" s="5"/>
      <c r="E183" s="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5"/>
      <c r="D184" s="5"/>
      <c r="E184" s="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5"/>
      <c r="D185" s="5"/>
      <c r="E185" s="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5"/>
      <c r="D186" s="5"/>
      <c r="E186" s="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5"/>
      <c r="D187" s="5"/>
      <c r="E187" s="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5"/>
      <c r="D188" s="5"/>
      <c r="E188" s="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5"/>
      <c r="D189" s="5"/>
      <c r="E189" s="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5"/>
      <c r="D190" s="5"/>
      <c r="E190" s="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5"/>
      <c r="D191" s="5"/>
      <c r="E191" s="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5"/>
      <c r="D192" s="5"/>
      <c r="E192" s="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5"/>
      <c r="D193" s="5"/>
      <c r="E193" s="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5"/>
      <c r="D194" s="5"/>
      <c r="E194" s="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5"/>
      <c r="D195" s="5"/>
      <c r="E195" s="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5"/>
      <c r="D196" s="5"/>
      <c r="E196" s="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5"/>
      <c r="D197" s="5"/>
      <c r="E197" s="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5"/>
      <c r="D198" s="5"/>
      <c r="E198" s="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5"/>
      <c r="D199" s="5"/>
      <c r="E199" s="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5"/>
      <c r="D200" s="5"/>
      <c r="E200" s="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5"/>
      <c r="D201" s="5"/>
      <c r="E201" s="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5"/>
      <c r="D202" s="5"/>
      <c r="E202" s="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5"/>
      <c r="D203" s="5"/>
      <c r="E203" s="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5"/>
      <c r="D204" s="5"/>
      <c r="E204" s="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5"/>
      <c r="D205" s="5"/>
      <c r="E205" s="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5"/>
      <c r="D206" s="5"/>
      <c r="E206" s="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5"/>
      <c r="D207" s="5"/>
      <c r="E207" s="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5"/>
      <c r="D208" s="5"/>
      <c r="E208" s="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5"/>
      <c r="D209" s="5"/>
      <c r="E209" s="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5"/>
      <c r="D210" s="5"/>
      <c r="E210" s="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5"/>
      <c r="D211" s="5"/>
      <c r="E211" s="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5"/>
      <c r="D212" s="5"/>
      <c r="E212" s="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5"/>
      <c r="D213" s="5"/>
      <c r="E213" s="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5"/>
      <c r="D214" s="5"/>
      <c r="E214" s="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5"/>
      <c r="D215" s="5"/>
      <c r="E215" s="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5"/>
      <c r="D216" s="5"/>
      <c r="E216" s="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5"/>
      <c r="D217" s="5"/>
      <c r="E217" s="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5"/>
      <c r="D218" s="5"/>
      <c r="E218" s="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5"/>
      <c r="D219" s="5"/>
      <c r="E219" s="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5"/>
      <c r="D220" s="5"/>
      <c r="E220" s="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5"/>
      <c r="D221" s="5"/>
      <c r="E221" s="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5"/>
      <c r="C222" s="5"/>
      <c r="D222" s="5"/>
      <c r="E222" s="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5"/>
      <c r="C223" s="5"/>
      <c r="D223" s="5"/>
      <c r="E223" s="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5"/>
      <c r="C224" s="5"/>
      <c r="D224" s="5"/>
      <c r="E224" s="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5"/>
      <c r="C225" s="5"/>
      <c r="D225" s="5"/>
      <c r="E225" s="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5"/>
      <c r="C226" s="5"/>
      <c r="D226" s="5"/>
      <c r="E226" s="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/>
      <c r="B227" s="5"/>
      <c r="C227" s="5"/>
      <c r="D227" s="5"/>
      <c r="E227" s="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/>
      <c r="B228" s="5"/>
      <c r="C228" s="5"/>
      <c r="D228" s="5"/>
      <c r="E228" s="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/>
      <c r="B229" s="5"/>
      <c r="C229" s="5"/>
      <c r="D229" s="5"/>
      <c r="E229" s="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0"/>
    <col customWidth="1" min="4" max="6" width="8.71"/>
  </cols>
  <sheetData>
    <row r="1" ht="15.0" customHeight="1">
      <c r="A1" s="17" t="s">
        <v>103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36" t="s">
        <v>104</v>
      </c>
      <c r="B3" s="5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5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8" t="s">
        <v>105</v>
      </c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3" t="s">
        <v>106</v>
      </c>
      <c r="B7" s="37">
        <v>4.0</v>
      </c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3" t="s">
        <v>107</v>
      </c>
      <c r="B8" s="37">
        <v>5.0</v>
      </c>
      <c r="C8" s="5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3" t="s">
        <v>108</v>
      </c>
      <c r="B9" s="37">
        <v>1.633</v>
      </c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3" t="s">
        <v>109</v>
      </c>
      <c r="B10" s="37">
        <v>1.633</v>
      </c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/>
      <c r="B12" s="5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8" t="s">
        <v>110</v>
      </c>
      <c r="B13" s="5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5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9" t="s">
        <v>34</v>
      </c>
      <c r="B15" s="19" t="s">
        <v>63</v>
      </c>
      <c r="C15" s="19" t="s">
        <v>64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20" t="s">
        <v>37</v>
      </c>
      <c r="B16" s="38">
        <v>0.0</v>
      </c>
      <c r="C16" s="38">
        <v>0.0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20" t="s">
        <v>38</v>
      </c>
      <c r="B17" s="38">
        <v>-1.2247</v>
      </c>
      <c r="C17" s="38">
        <v>-1.2247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20" t="s">
        <v>39</v>
      </c>
      <c r="B18" s="38">
        <v>1.2247</v>
      </c>
      <c r="C18" s="38">
        <v>1.2247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0" t="s">
        <v>40</v>
      </c>
      <c r="B19" s="38">
        <v>0.0</v>
      </c>
      <c r="C19" s="38">
        <v>0.0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/>
      <c r="B21" s="5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8" t="s">
        <v>111</v>
      </c>
      <c r="B22" s="5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/>
      <c r="B23" s="5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23" t="s">
        <v>112</v>
      </c>
      <c r="B24" s="37">
        <v>1.0</v>
      </c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/>
      <c r="B25" s="5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/>
      <c r="B26" s="5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8" t="s">
        <v>113</v>
      </c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23" t="s">
        <v>114</v>
      </c>
      <c r="B29" s="37">
        <v>2.0</v>
      </c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23" t="s">
        <v>115</v>
      </c>
      <c r="B30" s="37">
        <v>0.0</v>
      </c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/>
      <c r="B31" s="5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23" t="s">
        <v>116</v>
      </c>
      <c r="B32" s="37" t="s">
        <v>117</v>
      </c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23" t="s">
        <v>118</v>
      </c>
      <c r="B33" s="37" t="s">
        <v>119</v>
      </c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/>
      <c r="B34" s="5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18" t="s">
        <v>120</v>
      </c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31" t="s">
        <v>34</v>
      </c>
      <c r="B37" s="31" t="s">
        <v>121</v>
      </c>
      <c r="C37" s="31" t="s">
        <v>122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33" t="s">
        <v>37</v>
      </c>
      <c r="B38" s="37">
        <v>0.0</v>
      </c>
      <c r="C38" s="37">
        <v>0.0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33" t="s">
        <v>38</v>
      </c>
      <c r="B39" s="37">
        <v>-1.7321</v>
      </c>
      <c r="C39" s="37">
        <v>0.0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33" t="s">
        <v>39</v>
      </c>
      <c r="B40" s="37">
        <v>1.7321</v>
      </c>
      <c r="C40" s="37">
        <v>0.0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33" t="s">
        <v>40</v>
      </c>
      <c r="B41" s="37">
        <v>0.0</v>
      </c>
      <c r="C41" s="37">
        <v>0.0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5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/>
      <c r="B43" s="5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/>
      <c r="B44" s="5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/>
      <c r="B45" s="5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/>
      <c r="B46" s="5"/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5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/>
      <c r="B48" s="5"/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/>
      <c r="B49" s="5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5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5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5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5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/>
      <c r="B54" s="5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/>
      <c r="B55" s="5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5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/>
      <c r="B57" s="5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5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5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/>
      <c r="B60" s="5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/>
      <c r="B61" s="5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/>
      <c r="B62" s="5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/>
      <c r="B63" s="5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/>
      <c r="B64" s="5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/>
      <c r="B65" s="5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/>
      <c r="B66" s="5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/>
      <c r="B67" s="5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/>
      <c r="B68" s="5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/>
      <c r="B69" s="5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/>
      <c r="B70" s="5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/>
      <c r="B71" s="5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/>
      <c r="B72" s="5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/>
      <c r="B73" s="5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/>
      <c r="B74" s="5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/>
      <c r="B75" s="5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/>
      <c r="B76" s="5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/>
      <c r="B77" s="5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/>
      <c r="B78" s="5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/>
      <c r="B79" s="5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/>
      <c r="B80" s="5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/>
      <c r="B81" s="5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/>
      <c r="B82" s="5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/>
      <c r="B83" s="5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/>
      <c r="B84" s="5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/>
      <c r="B85" s="5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/>
      <c r="B86" s="5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/>
      <c r="B87" s="5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/>
      <c r="B88" s="5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/>
      <c r="B89" s="5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/>
      <c r="B90" s="5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/>
      <c r="B91" s="5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/>
      <c r="B92" s="5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/>
      <c r="B93" s="5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/>
      <c r="B94" s="5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/>
      <c r="B95" s="5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/>
      <c r="B96" s="5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/>
      <c r="B97" s="5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/>
      <c r="B98" s="5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/>
      <c r="B99" s="5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/>
      <c r="B100" s="5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/>
      <c r="B101" s="5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/>
      <c r="B102" s="5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/>
      <c r="B103" s="5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/>
      <c r="B104" s="5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/>
      <c r="B105" s="5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/>
      <c r="B106" s="5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/>
      <c r="B107" s="5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/>
      <c r="B108" s="5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/>
      <c r="B109" s="5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/>
      <c r="B110" s="5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/>
      <c r="B111" s="5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/>
      <c r="B112" s="5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/>
      <c r="B113" s="5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/>
      <c r="B114" s="5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/>
      <c r="B115" s="5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/>
      <c r="B116" s="5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/>
      <c r="B117" s="5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/>
      <c r="B118" s="5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/>
      <c r="B119" s="5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/>
      <c r="B120" s="5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/>
      <c r="B121" s="5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/>
      <c r="B122" s="5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/>
      <c r="B123" s="5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/>
      <c r="B124" s="5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/>
      <c r="B125" s="5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/>
      <c r="B126" s="5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/>
      <c r="B127" s="5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/>
      <c r="B128" s="5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/>
      <c r="B129" s="5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/>
      <c r="B130" s="5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/>
      <c r="B131" s="5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/>
      <c r="B132" s="5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/>
      <c r="B133" s="5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/>
      <c r="B134" s="5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/>
      <c r="B135" s="5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/>
      <c r="B136" s="5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/>
      <c r="B137" s="5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/>
      <c r="B138" s="5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/>
      <c r="B139" s="5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/>
      <c r="B140" s="5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/>
      <c r="B141" s="5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/>
      <c r="B142" s="5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/>
      <c r="B143" s="5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/>
      <c r="B144" s="5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/>
      <c r="B145" s="5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/>
      <c r="B146" s="5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/>
      <c r="B147" s="5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/>
      <c r="B148" s="5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/>
      <c r="B149" s="5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/>
      <c r="B150" s="5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/>
      <c r="B151" s="5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/>
      <c r="B152" s="5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/>
      <c r="B153" s="5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/>
      <c r="B154" s="5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/>
      <c r="B155" s="5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/>
      <c r="B156" s="5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/>
      <c r="B157" s="5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/>
      <c r="B158" s="5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/>
      <c r="B159" s="5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/>
      <c r="B160" s="5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/>
      <c r="B161" s="5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/>
      <c r="B162" s="5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/>
      <c r="B163" s="5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/>
      <c r="B164" s="5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/>
      <c r="B165" s="5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/>
      <c r="B166" s="5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/>
      <c r="B167" s="5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/>
      <c r="B168" s="5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/>
      <c r="B169" s="5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/>
      <c r="B170" s="5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/>
      <c r="B171" s="5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/>
      <c r="B172" s="5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/>
      <c r="B173" s="5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/>
      <c r="B174" s="5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/>
      <c r="B175" s="5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/>
      <c r="B176" s="5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/>
      <c r="B177" s="5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/>
      <c r="B178" s="5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/>
      <c r="B179" s="5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/>
      <c r="B180" s="5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/>
      <c r="B181" s="5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/>
      <c r="B182" s="5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/>
      <c r="B183" s="5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/>
      <c r="B184" s="5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/>
      <c r="B185" s="5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/>
      <c r="B186" s="5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/>
      <c r="B187" s="5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/>
      <c r="B188" s="5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/>
      <c r="B189" s="5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/>
      <c r="B190" s="5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/>
      <c r="B191" s="5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/>
      <c r="B192" s="5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/>
      <c r="B193" s="5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/>
      <c r="B194" s="5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/>
      <c r="B195" s="5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/>
      <c r="B196" s="5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/>
      <c r="B197" s="5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/>
      <c r="B198" s="5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/>
      <c r="B199" s="5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/>
      <c r="B200" s="5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/>
      <c r="B201" s="5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/>
      <c r="B202" s="5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/>
      <c r="B203" s="5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/>
      <c r="B204" s="5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/>
      <c r="B205" s="5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/>
      <c r="B206" s="5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/>
      <c r="B207" s="5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/>
      <c r="B208" s="5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/>
      <c r="B209" s="5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/>
      <c r="B210" s="5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/>
      <c r="B211" s="5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/>
      <c r="B212" s="5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/>
      <c r="B213" s="5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/>
      <c r="B214" s="5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/>
      <c r="B215" s="5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/>
      <c r="B216" s="5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/>
      <c r="B217" s="5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/>
      <c r="B218" s="5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/>
      <c r="B219" s="5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/>
      <c r="B220" s="5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/>
      <c r="B221" s="5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/>
      <c r="B222" s="5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/>
      <c r="B223" s="5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/>
      <c r="B224" s="5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/>
      <c r="B225" s="5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/>
      <c r="B226" s="5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/>
      <c r="B227" s="5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/>
      <c r="B228" s="5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/>
      <c r="B229" s="5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/>
      <c r="B230" s="5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/>
      <c r="B231" s="5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/>
      <c r="B232" s="5"/>
      <c r="C232" s="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/>
      <c r="B233" s="5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/>
      <c r="B234" s="5"/>
      <c r="C234" s="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/>
      <c r="B235" s="5"/>
      <c r="C235" s="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/>
      <c r="B236" s="5"/>
      <c r="C236" s="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/>
      <c r="B237" s="5"/>
      <c r="C237" s="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/>
      <c r="B238" s="5"/>
      <c r="C238" s="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/>
      <c r="B239" s="5"/>
      <c r="C239" s="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/>
      <c r="B240" s="5"/>
      <c r="C240" s="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/>
      <c r="B241" s="5"/>
      <c r="C241" s="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2026-02-16T01:52:31Z</dcterms:created>
  <dc:creator>openpyxl</dc:creator>
</cp:coreProperties>
</file>