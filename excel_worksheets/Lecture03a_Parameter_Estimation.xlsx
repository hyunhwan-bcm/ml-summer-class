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" sheetId="2" r:id="rId5"/>
    <sheet state="visible" name="Step1_Prediction" sheetId="3" r:id="rId6"/>
    <sheet state="visible" name="Step2_GridSearch" sheetId="4" r:id="rId7"/>
    <sheet state="visible" name="Step3_GradientDescent" sheetId="5" r:id="rId8"/>
    <sheet state="visible" name="Step4_ResidualAnalysis" sheetId="6" r:id="rId9"/>
    <sheet state="visible" name="Answer_Key" sheetId="7" r:id="rId10"/>
  </sheets>
  <definedNames/>
  <calcPr/>
  <extLst>
    <ext uri="GoogleSheetsCustomDataVersion2">
      <go:sheetsCustomData xmlns:go="http://customooxmlschemas.google.com/" r:id="rId11" roundtripDataChecksum="yW0snkn1DvZXtGJRSwQ7mzk7jaBQkjpFtRDZXFyOhcE="/>
    </ext>
  </extLst>
</workbook>
</file>

<file path=xl/sharedStrings.xml><?xml version="1.0" encoding="utf-8"?>
<sst xmlns="http://schemas.openxmlformats.org/spreadsheetml/2006/main" count="185" uniqueCount="152">
  <si>
    <t>[Description] Nonlinear Model Parameter Estimation - Beverton-Holt Model</t>
  </si>
  <si>
    <t>Parameter Estimation for Nonlinear Models</t>
  </si>
  <si>
    <t>This worksheet covers parameter estimation for the Beverton-Holt stock-recruitment model.</t>
  </si>
  <si>
    <t>Model: f(S; α, k) = αS / (1 + S/k)</t>
  </si>
  <si>
    <t xml:space="preserve">  - S: Spawning biomass</t>
  </si>
  <si>
    <t xml:space="preserve">  - R: Recruitment</t>
  </si>
  <si>
    <t xml:space="preserve">  - α: Initial slope (related to survival rate at low density)</t>
  </si>
  <si>
    <t xml:space="preserve">  - k: Density-dependence parameter</t>
  </si>
  <si>
    <t>Learning Objectives:</t>
  </si>
  <si>
    <t xml:space="preserve">  1. Calculate predicted values and SSE with given parameters (Step 1)</t>
  </si>
  <si>
    <t xml:space="preserve">  2. Find optimal parameters using grid search (Step 2)</t>
  </si>
  <si>
    <t xml:space="preserve">  3. Understand the principle of gradient descent (Step 3)</t>
  </si>
  <si>
    <t xml:space="preserve">  4. Evaluate model fit through residual analysis (Step 4)</t>
  </si>
  <si>
    <t>Key Formulas:</t>
  </si>
  <si>
    <t>• Beverton-Holt model: R = αS / (1 + S/k)</t>
  </si>
  <si>
    <t>• SSE (Sum of Squared Errors): Σ(Rᵢ - R̂ᵢ)²</t>
  </si>
  <si>
    <t>• Grid search: Evaluate SSE over parameter grid</t>
  </si>
  <si>
    <t>• Gradient descent update: θₙₑw = θₒₗd - η × ∂SSE/∂θ</t>
  </si>
  <si>
    <t>• Numerical derivative: ∂f/∂θ ≈ [f(θ+h) - f(θ-h)] / 2h</t>
  </si>
  <si>
    <t>• Residual: eᵢ = Rᵢ - R̂ᵢ</t>
  </si>
  <si>
    <t>Color Guide:</t>
  </si>
  <si>
    <t>Given Data (Input)</t>
  </si>
  <si>
    <t>Intermediate Calculations</t>
  </si>
  <si>
    <t>Final Results</t>
  </si>
  <si>
    <t>Correct Answer (✓)</t>
  </si>
  <si>
    <t>Incorrect Answer (✗)</t>
  </si>
  <si>
    <t>[Description] Stock-Recruitment Data</t>
  </si>
  <si>
    <t>Data: Relationship between spawning biomass (S) and recruitment (R)</t>
  </si>
  <si>
    <t>i</t>
  </si>
  <si>
    <t>S (Biomass)</t>
  </si>
  <si>
    <t>R (Recruitment)</t>
  </si>
  <si>
    <t>[Description] STEP 1: Calculate predicted values and SSE with initial parameters</t>
  </si>
  <si>
    <t>Goal: Calculate predicted values and SSE (Sum of Squared Errors) using given parameters</t>
  </si>
  <si>
    <t>Initial parameters (from visual estimation):</t>
  </si>
  <si>
    <t>α (alpha) =</t>
  </si>
  <si>
    <t>(initial growth rate)</t>
  </si>
  <si>
    <t>k =</t>
  </si>
  <si>
    <t>(asymptote related)</t>
  </si>
  <si>
    <t>Task: Fill in the yellow cells with your calculations</t>
  </si>
  <si>
    <t>S</t>
  </si>
  <si>
    <t>R (observed)</t>
  </si>
  <si>
    <t>1 + S/k</t>
  </si>
  <si>
    <t>ŷ = αS/(1+S/k)</t>
  </si>
  <si>
    <t>e = R - ŷ</t>
  </si>
  <si>
    <t>e²</t>
  </si>
  <si>
    <t>SSE =</t>
  </si>
  <si>
    <t>Your Answer:</t>
  </si>
  <si>
    <t>Calculation Hints:</t>
  </si>
  <si>
    <t>• i=1: S=10, so 1+S/k = 1+10/30 = 1.333</t>
  </si>
  <si>
    <t>• ŷ = 5×10/1.333 = 37.5</t>
  </si>
  <si>
    <t>• e = 35 - 37.5 = -2.5</t>
  </si>
  <si>
    <t>• SSE = Σe² (sum of all e²)</t>
  </si>
  <si>
    <t>[Description] STEP 2: Grid Search - Test multiple parameter combinations to find optimal values</t>
  </si>
  <si>
    <t>Goal: Calculate SSE for various parameter combinations to find the minimum</t>
  </si>
  <si>
    <t>Concept: Find parameters that minimize the objective function θ̂ = argmin J(θ)</t>
  </si>
  <si>
    <t>PART A: Fix k=30, vary α</t>
  </si>
  <si>
    <t>α</t>
  </si>
  <si>
    <t>k</t>
  </si>
  <si>
    <t>SSE</t>
  </si>
  <si>
    <t>Note</t>
  </si>
  <si>
    <t>← initial estimate</t>
  </si>
  <si>
    <t>Optimal α (minimum SSE):</t>
  </si>
  <si>
    <t>PART B: Fix α=5, vary k</t>
  </si>
  <si>
    <t>Optimal k (minimum SSE):</t>
  </si>
  <si>
    <t>PART C: 2D Grid Search</t>
  </si>
  <si>
    <t>α range: 4, 5, 6</t>
  </si>
  <si>
    <t>k range: 25, 30, 35</t>
  </si>
  <si>
    <t>α \ k</t>
  </si>
  <si>
    <t>Optimal combination: α =</t>
  </si>
  <si>
    <t>, k =</t>
  </si>
  <si>
    <t>[Description] STEP 3: Gradient Descent Concept (Numerical Gradient Approximation)</t>
  </si>
  <si>
    <t>Goal: Understand the principle of gradient descent through numerical gradient approximation</t>
  </si>
  <si>
    <t>Key Idea: Move in the direction where SSE decreases most rapidly</t>
  </si>
  <si>
    <t>Numerical Gradient Approximation Formula:</t>
  </si>
  <si>
    <t>∂J/∂α ≈ [J(α+h) - J(α-h)] / (2h)   (h is a small number)</t>
  </si>
  <si>
    <t>Starting Point:</t>
  </si>
  <si>
    <t>α₀ =</t>
  </si>
  <si>
    <t>(starting below optimal α*=5)</t>
  </si>
  <si>
    <t>(fixed)</t>
  </si>
  <si>
    <t>h =</t>
  </si>
  <si>
    <t>Task 1: Calculate numerical gradient for α</t>
  </si>
  <si>
    <t>Fix k=30 and calculate gradient numerically near α=4.5</t>
  </si>
  <si>
    <t>Calculation</t>
  </si>
  <si>
    <t>Value</t>
  </si>
  <si>
    <t>Description</t>
  </si>
  <si>
    <t>J(α-h) = J(4.4)</t>
  </si>
  <si>
    <t>SSE at α=4.4, k=30</t>
  </si>
  <si>
    <t>J(α+h) = J(4.6)</t>
  </si>
  <si>
    <t>SSE at α=4.6, k=30</t>
  </si>
  <si>
    <t>J(α) = J(4.5)</t>
  </si>
  <si>
    <t>SSE at current position</t>
  </si>
  <si>
    <t>∂J/∂α</t>
  </si>
  <si>
    <t>Task 2: Interpret the gradient</t>
  </si>
  <si>
    <t>Q1: What is the sign of ∂J/∂α? (positive/negative)</t>
  </si>
  <si>
    <t>Q2: If the sign is negative, which direction should α move to decrease SSE?</t>
  </si>
  <si>
    <t xml:space="preserve">    (Hint: Update rule is α_new = α_old - η × ∂J/∂α)</t>
  </si>
  <si>
    <t>Task 3: Execute one gradient descent step</t>
  </si>
  <si>
    <t>Use learning rate η = 0.0003 (very small value)</t>
  </si>
  <si>
    <t>α_new = α_old - η × ∂J/∂α =</t>
  </si>
  <si>
    <t>J(α_new) = ?</t>
  </si>
  <si>
    <t>Did SSE decrease? (Yes/No)</t>
  </si>
  <si>
    <t>Extra: Is α_new closer to the optimal α*=5?</t>
  </si>
  <si>
    <t>[Description] STEP 4: Residual Analysis - Evaluate model fit</t>
  </si>
  <si>
    <t>Goal: Analyze residuals with optimal parameters to evaluate model fit</t>
  </si>
  <si>
    <t>Optimal Parameters (from grid search):</t>
  </si>
  <si>
    <t>α* =</t>
  </si>
  <si>
    <t>k* =</t>
  </si>
  <si>
    <t>Task 1: Calculate residuals with optimal parameters</t>
  </si>
  <si>
    <t>ŷ (predicted)</t>
  </si>
  <si>
    <t>Task 2: Summary Statistics</t>
  </si>
  <si>
    <t>SSE (Σe²) =</t>
  </si>
  <si>
    <t>Mean of residuals (should be ≈0) =</t>
  </si>
  <si>
    <t>Task 3: Calculate R² (Coefficient of Determination)</t>
  </si>
  <si>
    <t>Formula: R² = 1 - SSE/SST</t>
  </si>
  <si>
    <t>SST = Σ(R - R̄)² (Total Sum of Squares)</t>
  </si>
  <si>
    <t>R̄ (mean of R) =</t>
  </si>
  <si>
    <t>SST =</t>
  </si>
  <si>
    <t>R² =</t>
  </si>
  <si>
    <t>Task 4: Interpretation</t>
  </si>
  <si>
    <t>Q1: Is there a pattern in the residuals? (Yes/No)</t>
  </si>
  <si>
    <t>Q2: What does the R² value tell us about the model fit?</t>
  </si>
  <si>
    <t>[Description] ANSWER KEY - All solutions and calculations</t>
  </si>
  <si>
    <t>ANSWER KEY</t>
  </si>
  <si>
    <t>STEP 1: Initial Parameters (α=5, k=30)</t>
  </si>
  <si>
    <t>R</t>
  </si>
  <si>
    <t>ŷ</t>
  </si>
  <si>
    <t>e</t>
  </si>
  <si>
    <t>STEP 2: Grid Search Results</t>
  </si>
  <si>
    <t>Part A: Varying α (k=30 fixed)</t>
  </si>
  <si>
    <t>← minimum</t>
  </si>
  <si>
    <t>Part B: Varying k (α=5 fixed)</t>
  </si>
  <si>
    <t>Part C: 2D Grid Search</t>
  </si>
  <si>
    <t>Optimal: α=5, k=30, SSE=16.32</t>
  </si>
  <si>
    <t>STEP 3: Gradient Descent (starting at α=4.5)</t>
  </si>
  <si>
    <t>J(4.4) =</t>
  </si>
  <si>
    <t>J(4.6) =</t>
  </si>
  <si>
    <t>J(4.5) =</t>
  </si>
  <si>
    <t>∂J/∂α = [J(4.6) - J(4.4)] / 0.2 =</t>
  </si>
  <si>
    <t>Interpretation:</t>
  </si>
  <si>
    <t>Gradient is negative → α should increase to reduce SSE</t>
  </si>
  <si>
    <t>With η = 0.0003:</t>
  </si>
  <si>
    <t>α_new = 4.5 - 0.0003 × gradient =</t>
  </si>
  <si>
    <t>J(α_new) =</t>
  </si>
  <si>
    <t>Result: SSE decreased from 397.44 to 17.5</t>
  </si>
  <si>
    <t>α_new = 4.9643 (closer to optimal α*=5)</t>
  </si>
  <si>
    <t>STEP 4: Residual Analysis (α=5, k=30)</t>
  </si>
  <si>
    <t>Mean of residuals =</t>
  </si>
  <si>
    <t>R̄ =</t>
  </si>
  <si>
    <t>R² = 1 - SSE/SST =</t>
  </si>
  <si>
    <t>R² = 99.5% → Model explains 99.5% of variation in R</t>
  </si>
  <si>
    <t>Residuals are small (mostly |e| &lt; 3) with no pattern</t>
  </si>
  <si>
    <t>→ Beverton-Holt model fits this data 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</si>
</sst>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color theme="1"/>
      <name val="Calibri"/>
    </font>
    <font>
      <b/>
      <color rgb="FFFFFFFF"/>
      <name val="Calibri"/>
    </font>
    <font>
      <sz val="11.0"/>
      <color rgb="FFFFFF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DAEEF3"/>
        <bgColor rgb="FFDAEEF3"/>
      </patternFill>
    </fill>
    <fill>
      <patternFill patternType="solid">
        <fgColor rgb="FFD8E4BC"/>
        <bgColor rgb="FFD8E4B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1" numFmtId="0" xfId="0" applyBorder="1" applyFill="1" applyFont="1"/>
    <xf borderId="1" fillId="7" fontId="1" numFmtId="0" xfId="0" applyBorder="1" applyFill="1" applyFont="1"/>
    <xf borderId="2" fillId="8" fontId="4" numFmtId="0" xfId="0" applyAlignment="1" applyBorder="1" applyFill="1" applyFont="1">
      <alignment horizontal="center" vertical="center"/>
    </xf>
    <xf borderId="2" fillId="8" fontId="5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right"/>
    </xf>
    <xf borderId="2" fillId="3" fontId="1" numFmtId="0" xfId="0" applyAlignment="1" applyBorder="1" applyFont="1">
      <alignment horizontal="center"/>
    </xf>
    <xf borderId="2" fillId="4" fontId="1" numFmtId="0" xfId="0" applyAlignment="1" applyBorder="1" applyFont="1">
      <alignment horizontal="center" vertical="center"/>
    </xf>
    <xf borderId="2" fillId="5" fontId="1" numFmtId="0" xfId="0" applyBorder="1" applyFont="1"/>
    <xf borderId="1" fillId="4" fontId="3" numFmtId="0" xfId="0" applyBorder="1" applyFont="1"/>
    <xf borderId="1" fillId="9" fontId="3" numFmtId="0" xfId="0" applyBorder="1" applyFill="1" applyFont="1"/>
    <xf borderId="2" fillId="4" fontId="1" numFmtId="0" xfId="0" applyBorder="1" applyFont="1"/>
    <xf borderId="2" fillId="0" fontId="1" numFmtId="0" xfId="0" applyBorder="1" applyFont="1"/>
    <xf borderId="1" fillId="8" fontId="4" numFmtId="0" xfId="0" applyAlignment="1" applyBorder="1" applyFont="1">
      <alignment horizontal="center"/>
    </xf>
    <xf borderId="2" fillId="10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/>
    </xf>
    <xf borderId="1" fillId="10" fontId="3" numFmtId="0" xfId="0" applyBorder="1" applyFont="1"/>
    <xf borderId="2" fillId="6" fontId="1" numFmtId="0" xfId="0" applyAlignment="1" applyBorder="1" applyFont="1">
      <alignment horizontal="center" vertical="center"/>
    </xf>
    <xf borderId="2" fillId="6" fontId="1" numFmtId="0" xfId="0" applyAlignment="1" applyBorder="1" applyFont="1">
      <alignment horizontal="center"/>
    </xf>
    <xf borderId="2" fillId="8" fontId="5" numFmtId="0" xfId="0" applyAlignment="1" applyBorder="1" applyFont="1">
      <alignment horizontal="center"/>
    </xf>
    <xf borderId="1" fillId="8" fontId="5" numFmtId="0" xfId="0" applyAlignment="1" applyBorder="1" applyFont="1">
      <alignment horizontal="center"/>
    </xf>
    <xf borderId="1" fillId="9" fontId="1" numFmtId="0" xfId="0" applyBorder="1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6" width="13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18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19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/>
      <c r="B29" s="3" t="s">
        <v>21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"/>
      <c r="B30" s="3" t="s">
        <v>22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/>
      <c r="B31" s="3" t="s">
        <v>23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8"/>
      <c r="B32" s="3" t="s">
        <v>24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/>
      <c r="B33" s="3" t="s">
        <v>25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5.0"/>
    <col customWidth="1" min="5" max="6" width="8.71"/>
  </cols>
  <sheetData>
    <row r="1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 t="s">
        <v>28</v>
      </c>
      <c r="B5" s="10" t="s">
        <v>29</v>
      </c>
      <c r="C5" s="10" t="s">
        <v>30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>
        <v>1.0</v>
      </c>
      <c r="B6" s="12">
        <v>10.0</v>
      </c>
      <c r="C6" s="12">
        <v>35.0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2.0</v>
      </c>
      <c r="B7" s="12">
        <v>15.0</v>
      </c>
      <c r="C7" s="12">
        <v>52.0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3.0</v>
      </c>
      <c r="B8" s="12">
        <v>20.0</v>
      </c>
      <c r="C8" s="12">
        <v>58.0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4.0</v>
      </c>
      <c r="B9" s="12">
        <v>30.0</v>
      </c>
      <c r="C9" s="12">
        <v>75.0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5.0</v>
      </c>
      <c r="B10" s="12">
        <v>40.0</v>
      </c>
      <c r="C10" s="12">
        <v>85.0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6.0</v>
      </c>
      <c r="B11" s="12">
        <v>50.0</v>
      </c>
      <c r="C11" s="12">
        <v>95.0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7.0</v>
      </c>
      <c r="B12" s="12">
        <v>60.0</v>
      </c>
      <c r="C12" s="12">
        <v>100.0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4.0"/>
  </cols>
  <sheetData>
    <row r="1">
      <c r="A1" s="1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34</v>
      </c>
      <c r="B7" s="14">
        <v>5.0</v>
      </c>
      <c r="C7" s="3" t="s">
        <v>35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36</v>
      </c>
      <c r="B8" s="14">
        <v>30.0</v>
      </c>
      <c r="C8" s="3" t="s">
        <v>37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 t="s">
        <v>28</v>
      </c>
      <c r="B12" s="10" t="s">
        <v>39</v>
      </c>
      <c r="C12" s="10" t="s">
        <v>40</v>
      </c>
      <c r="D12" s="10" t="s">
        <v>41</v>
      </c>
      <c r="E12" s="10" t="s">
        <v>42</v>
      </c>
      <c r="F12" s="10" t="s">
        <v>43</v>
      </c>
      <c r="G12" s="10" t="s">
        <v>44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1.0</v>
      </c>
      <c r="B13" s="12">
        <v>10.0</v>
      </c>
      <c r="C13" s="12">
        <v>35.0</v>
      </c>
      <c r="D13" s="15"/>
      <c r="E13" s="15"/>
      <c r="F13" s="15"/>
      <c r="G13" s="1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2.0</v>
      </c>
      <c r="B14" s="12">
        <v>15.0</v>
      </c>
      <c r="C14" s="12">
        <v>52.0</v>
      </c>
      <c r="D14" s="15"/>
      <c r="E14" s="15"/>
      <c r="F14" s="15"/>
      <c r="G14" s="1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3.0</v>
      </c>
      <c r="B15" s="12">
        <v>20.0</v>
      </c>
      <c r="C15" s="12">
        <v>58.0</v>
      </c>
      <c r="D15" s="15"/>
      <c r="E15" s="15"/>
      <c r="F15" s="15"/>
      <c r="G15" s="1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4.0</v>
      </c>
      <c r="B16" s="12">
        <v>30.0</v>
      </c>
      <c r="C16" s="12">
        <v>75.0</v>
      </c>
      <c r="D16" s="15"/>
      <c r="E16" s="15"/>
      <c r="F16" s="15"/>
      <c r="G16" s="1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5.0</v>
      </c>
      <c r="B17" s="12">
        <v>40.0</v>
      </c>
      <c r="C17" s="12">
        <v>85.0</v>
      </c>
      <c r="D17" s="15"/>
      <c r="E17" s="15"/>
      <c r="F17" s="15"/>
      <c r="G17" s="1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6.0</v>
      </c>
      <c r="B18" s="12">
        <v>50.0</v>
      </c>
      <c r="C18" s="12">
        <v>95.0</v>
      </c>
      <c r="D18" s="15"/>
      <c r="E18" s="15"/>
      <c r="F18" s="15"/>
      <c r="G18" s="1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7.0</v>
      </c>
      <c r="B19" s="12">
        <v>60.0</v>
      </c>
      <c r="C19" s="12">
        <v>100.0</v>
      </c>
      <c r="D19" s="15"/>
      <c r="E19" s="15"/>
      <c r="F19" s="15"/>
      <c r="G19" s="1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13" t="s">
        <v>45</v>
      </c>
      <c r="F20" s="13" t="s">
        <v>46</v>
      </c>
      <c r="G20" s="1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7" t="s">
        <v>47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48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49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50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51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4.0"/>
    <col customWidth="1" min="3" max="3" width="13.86"/>
    <col customWidth="1" min="4" max="6" width="14.0"/>
  </cols>
  <sheetData>
    <row r="1">
      <c r="A1" s="1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53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8" t="s">
        <v>55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 t="s">
        <v>56</v>
      </c>
      <c r="B8" s="10" t="s">
        <v>57</v>
      </c>
      <c r="C8" s="10" t="s">
        <v>58</v>
      </c>
      <c r="D8" s="10" t="s">
        <v>59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>
        <v>3.0</v>
      </c>
      <c r="B9" s="12">
        <v>30.0</v>
      </c>
      <c r="C9" s="19"/>
      <c r="D9" s="2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>
        <v>4.0</v>
      </c>
      <c r="B10" s="12">
        <v>30.0</v>
      </c>
      <c r="C10" s="19"/>
      <c r="D10" s="20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>
        <v>5.0</v>
      </c>
      <c r="B11" s="12">
        <v>30.0</v>
      </c>
      <c r="C11" s="19"/>
      <c r="D11" s="20" t="s">
        <v>60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>
        <v>6.0</v>
      </c>
      <c r="B12" s="12">
        <v>30.0</v>
      </c>
      <c r="C12" s="19"/>
      <c r="D12" s="2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>
        <v>7.0</v>
      </c>
      <c r="B13" s="12">
        <v>30.0</v>
      </c>
      <c r="C13" s="19"/>
      <c r="D13" s="2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>
        <v>8.0</v>
      </c>
      <c r="B14" s="12">
        <v>30.0</v>
      </c>
      <c r="C14" s="19"/>
      <c r="D14" s="20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61</v>
      </c>
      <c r="B16" s="2"/>
      <c r="C16" s="16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8" t="s">
        <v>62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 t="s">
        <v>56</v>
      </c>
      <c r="B20" s="10" t="s">
        <v>57</v>
      </c>
      <c r="C20" s="10" t="s">
        <v>58</v>
      </c>
      <c r="D20" s="10" t="s">
        <v>59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2">
        <v>5.0</v>
      </c>
      <c r="B21" s="12">
        <v>20.0</v>
      </c>
      <c r="C21" s="19"/>
      <c r="D21" s="2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2">
        <v>5.0</v>
      </c>
      <c r="B22" s="12">
        <v>25.0</v>
      </c>
      <c r="C22" s="19"/>
      <c r="D22" s="2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2">
        <v>5.0</v>
      </c>
      <c r="B23" s="12">
        <v>30.0</v>
      </c>
      <c r="C23" s="19"/>
      <c r="D23" s="20" t="s">
        <v>60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2">
        <v>5.0</v>
      </c>
      <c r="B24" s="12">
        <v>35.0</v>
      </c>
      <c r="C24" s="19"/>
      <c r="D24" s="20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2">
        <v>5.0</v>
      </c>
      <c r="B25" s="12">
        <v>40.0</v>
      </c>
      <c r="C25" s="19"/>
      <c r="D25" s="20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2">
        <v>5.0</v>
      </c>
      <c r="B26" s="12">
        <v>45.0</v>
      </c>
      <c r="C26" s="19"/>
      <c r="D26" s="2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63</v>
      </c>
      <c r="B28" s="2"/>
      <c r="C28" s="16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8" t="s">
        <v>64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65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66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1" t="s">
        <v>67</v>
      </c>
      <c r="B35" s="10">
        <v>25.0</v>
      </c>
      <c r="C35" s="10">
        <v>30.0</v>
      </c>
      <c r="D35" s="10">
        <v>35.0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2">
        <v>4.0</v>
      </c>
      <c r="B36" s="19"/>
      <c r="C36" s="19"/>
      <c r="D36" s="19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2">
        <v>5.0</v>
      </c>
      <c r="B37" s="19"/>
      <c r="C37" s="19"/>
      <c r="D37" s="19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2">
        <v>6.0</v>
      </c>
      <c r="B38" s="19"/>
      <c r="C38" s="19"/>
      <c r="D38" s="19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3" t="s">
        <v>68</v>
      </c>
      <c r="B40" s="16"/>
      <c r="C40" s="13" t="s">
        <v>69</v>
      </c>
      <c r="D40" s="1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15.0"/>
    <col customWidth="1" min="3" max="3" width="40.0"/>
    <col customWidth="1" min="4" max="6" width="13.0"/>
  </cols>
  <sheetData>
    <row r="1">
      <c r="A1" s="1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72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7" t="s">
        <v>73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74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75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76</v>
      </c>
      <c r="B10" s="14">
        <v>4.5</v>
      </c>
      <c r="C10" s="3" t="s">
        <v>77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 t="s">
        <v>36</v>
      </c>
      <c r="B11" s="14">
        <v>30.0</v>
      </c>
      <c r="C11" s="3" t="s">
        <v>78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79</v>
      </c>
      <c r="B12" s="14">
        <v>0.1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7" t="s">
        <v>80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81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 t="s">
        <v>82</v>
      </c>
      <c r="B18" s="10" t="s">
        <v>83</v>
      </c>
      <c r="C18" s="10" t="s">
        <v>84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3" t="s">
        <v>85</v>
      </c>
      <c r="B19" s="19"/>
      <c r="C19" s="20" t="s">
        <v>86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3" t="s">
        <v>87</v>
      </c>
      <c r="B20" s="19"/>
      <c r="C20" s="20" t="s">
        <v>88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3" t="s">
        <v>89</v>
      </c>
      <c r="B21" s="19"/>
      <c r="C21" s="20" t="s">
        <v>90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3" t="s">
        <v>91</v>
      </c>
      <c r="B22" s="19"/>
      <c r="C22" s="20" t="str">
        <f> [J(4.6) - J(4.4)] / (2×0.1)</f>
        <v>#ERROR!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7" t="s">
        <v>92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93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94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95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7" t="s">
        <v>96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97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3" t="s">
        <v>98</v>
      </c>
      <c r="B35" s="1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3" t="s">
        <v>99</v>
      </c>
      <c r="B37" s="1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3" t="s">
        <v>100</v>
      </c>
      <c r="B38" s="1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101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5.0"/>
  </cols>
  <sheetData>
    <row r="1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7" t="s">
        <v>104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105</v>
      </c>
      <c r="B6" s="14">
        <v>5.0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106</v>
      </c>
      <c r="B7" s="14">
        <v>30.0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7" t="s">
        <v>107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 t="s">
        <v>28</v>
      </c>
      <c r="B11" s="10" t="s">
        <v>39</v>
      </c>
      <c r="C11" s="10" t="s">
        <v>40</v>
      </c>
      <c r="D11" s="10" t="s">
        <v>108</v>
      </c>
      <c r="E11" s="10" t="s">
        <v>43</v>
      </c>
      <c r="F11" s="10" t="s">
        <v>44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1.0</v>
      </c>
      <c r="B12" s="12">
        <v>10.0</v>
      </c>
      <c r="C12" s="12">
        <v>35.0</v>
      </c>
      <c r="D12" s="15"/>
      <c r="E12" s="15"/>
      <c r="F12" s="1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2.0</v>
      </c>
      <c r="B13" s="12">
        <v>15.0</v>
      </c>
      <c r="C13" s="12">
        <v>52.0</v>
      </c>
      <c r="D13" s="15"/>
      <c r="E13" s="15"/>
      <c r="F13" s="1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3.0</v>
      </c>
      <c r="B14" s="12">
        <v>20.0</v>
      </c>
      <c r="C14" s="12">
        <v>58.0</v>
      </c>
      <c r="D14" s="15"/>
      <c r="E14" s="15"/>
      <c r="F14" s="1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4.0</v>
      </c>
      <c r="B15" s="12">
        <v>30.0</v>
      </c>
      <c r="C15" s="12">
        <v>75.0</v>
      </c>
      <c r="D15" s="15"/>
      <c r="E15" s="15"/>
      <c r="F15" s="1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5.0</v>
      </c>
      <c r="B16" s="12">
        <v>40.0</v>
      </c>
      <c r="C16" s="12">
        <v>85.0</v>
      </c>
      <c r="D16" s="15"/>
      <c r="E16" s="15"/>
      <c r="F16" s="1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6.0</v>
      </c>
      <c r="B17" s="12">
        <v>50.0</v>
      </c>
      <c r="C17" s="12">
        <v>95.0</v>
      </c>
      <c r="D17" s="15"/>
      <c r="E17" s="15"/>
      <c r="F17" s="1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7.0</v>
      </c>
      <c r="B18" s="12">
        <v>60.0</v>
      </c>
      <c r="C18" s="12">
        <v>100.0</v>
      </c>
      <c r="D18" s="15"/>
      <c r="E18" s="15"/>
      <c r="F18" s="1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8" t="s">
        <v>109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3" t="s">
        <v>110</v>
      </c>
      <c r="C21" s="16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3" t="s">
        <v>111</v>
      </c>
      <c r="C22" s="16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8" t="s">
        <v>112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113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114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3" t="s">
        <v>115</v>
      </c>
      <c r="C28" s="16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3" t="s">
        <v>116</v>
      </c>
      <c r="C29" s="16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3" t="s">
        <v>117</v>
      </c>
      <c r="C30" s="16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8" t="s">
        <v>118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119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120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21:B21"/>
    <mergeCell ref="A22:B22"/>
    <mergeCell ref="A28:B28"/>
    <mergeCell ref="A29:B29"/>
    <mergeCell ref="A30:B30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7" width="16.0"/>
  </cols>
  <sheetData>
    <row r="1">
      <c r="A1" s="1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122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4" t="s">
        <v>123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 t="s">
        <v>28</v>
      </c>
      <c r="B7" s="10" t="s">
        <v>39</v>
      </c>
      <c r="C7" s="10" t="s">
        <v>124</v>
      </c>
      <c r="D7" s="10" t="s">
        <v>41</v>
      </c>
      <c r="E7" s="10" t="s">
        <v>125</v>
      </c>
      <c r="F7" s="10" t="s">
        <v>126</v>
      </c>
      <c r="G7" s="10" t="s">
        <v>44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1.0</v>
      </c>
      <c r="B8" s="25">
        <v>10.0</v>
      </c>
      <c r="C8" s="25">
        <v>35.0</v>
      </c>
      <c r="D8" s="25">
        <v>1.3333</v>
      </c>
      <c r="E8" s="25">
        <v>37.5</v>
      </c>
      <c r="F8" s="25">
        <v>-2.5</v>
      </c>
      <c r="G8" s="25">
        <v>6.25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2.0</v>
      </c>
      <c r="B9" s="25">
        <v>15.0</v>
      </c>
      <c r="C9" s="25">
        <v>52.0</v>
      </c>
      <c r="D9" s="25">
        <v>1.5</v>
      </c>
      <c r="E9" s="25">
        <v>50.0</v>
      </c>
      <c r="F9" s="25">
        <v>2.0</v>
      </c>
      <c r="G9" s="25">
        <v>4.0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3.0</v>
      </c>
      <c r="B10" s="25">
        <v>20.0</v>
      </c>
      <c r="C10" s="25">
        <v>58.0</v>
      </c>
      <c r="D10" s="25">
        <v>1.6667</v>
      </c>
      <c r="E10" s="25">
        <v>60.0</v>
      </c>
      <c r="F10" s="25">
        <v>-2.0</v>
      </c>
      <c r="G10" s="25">
        <v>4.0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4.0</v>
      </c>
      <c r="B11" s="25">
        <v>30.0</v>
      </c>
      <c r="C11" s="25">
        <v>75.0</v>
      </c>
      <c r="D11" s="25">
        <v>2.0</v>
      </c>
      <c r="E11" s="25">
        <v>75.0</v>
      </c>
      <c r="F11" s="25">
        <v>0.0</v>
      </c>
      <c r="G11" s="25">
        <v>0.0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5.0</v>
      </c>
      <c r="B12" s="25">
        <v>40.0</v>
      </c>
      <c r="C12" s="25">
        <v>85.0</v>
      </c>
      <c r="D12" s="25">
        <v>2.3333</v>
      </c>
      <c r="E12" s="25">
        <v>85.71</v>
      </c>
      <c r="F12" s="25">
        <v>-0.71</v>
      </c>
      <c r="G12" s="25">
        <v>0.51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6.0</v>
      </c>
      <c r="B13" s="25">
        <v>50.0</v>
      </c>
      <c r="C13" s="25">
        <v>95.0</v>
      </c>
      <c r="D13" s="25">
        <v>2.6667</v>
      </c>
      <c r="E13" s="25">
        <v>93.75</v>
      </c>
      <c r="F13" s="25">
        <v>1.25</v>
      </c>
      <c r="G13" s="25">
        <v>1.56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7.0</v>
      </c>
      <c r="B14" s="25">
        <v>60.0</v>
      </c>
      <c r="C14" s="25">
        <v>100.0</v>
      </c>
      <c r="D14" s="25">
        <v>3.0</v>
      </c>
      <c r="E14" s="25">
        <v>100.0</v>
      </c>
      <c r="F14" s="25">
        <v>0.0</v>
      </c>
      <c r="G14" s="25">
        <v>0.0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 t="s">
        <v>45</v>
      </c>
      <c r="B15" s="26">
        <v>16.32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4" t="s">
        <v>127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128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1" t="s">
        <v>56</v>
      </c>
      <c r="B21" s="21" t="s">
        <v>58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7">
        <v>3.0</v>
      </c>
      <c r="B22" s="26">
        <v>6252.85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7">
        <v>4.0</v>
      </c>
      <c r="B23" s="26">
        <v>1563.9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7">
        <v>5.0</v>
      </c>
      <c r="B24" s="26">
        <v>16.32</v>
      </c>
      <c r="C24" s="3" t="s">
        <v>129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7">
        <v>6.0</v>
      </c>
      <c r="B25" s="26">
        <v>1610.13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7">
        <v>7.0</v>
      </c>
      <c r="B26" s="26">
        <v>6345.31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7">
        <v>8.0</v>
      </c>
      <c r="B27" s="26">
        <v>14221.88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130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1" t="s">
        <v>57</v>
      </c>
      <c r="B31" s="21" t="s">
        <v>58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7">
        <v>20.0</v>
      </c>
      <c r="B32" s="26">
        <v>1892.09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7">
        <v>25.0</v>
      </c>
      <c r="B33" s="26">
        <v>418.99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7">
        <v>30.0</v>
      </c>
      <c r="B34" s="26">
        <v>16.32</v>
      </c>
      <c r="C34" s="3" t="s">
        <v>129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7">
        <v>35.0</v>
      </c>
      <c r="B35" s="26">
        <v>323.74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7">
        <v>40.0</v>
      </c>
      <c r="B36" s="26">
        <v>1105.95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7">
        <v>45.0</v>
      </c>
      <c r="B37" s="26">
        <v>2205.05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" t="s">
        <v>131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1" t="s">
        <v>67</v>
      </c>
      <c r="B41" s="21">
        <v>25.0</v>
      </c>
      <c r="C41" s="21">
        <v>30.0</v>
      </c>
      <c r="D41" s="21">
        <v>35.0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8">
        <v>4.0</v>
      </c>
      <c r="B42" s="26">
        <v>3071.99</v>
      </c>
      <c r="C42" s="26">
        <v>1563.9</v>
      </c>
      <c r="D42" s="26">
        <v>674.04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8">
        <v>5.0</v>
      </c>
      <c r="B43" s="26">
        <v>418.99</v>
      </c>
      <c r="C43" s="26">
        <v>16.32</v>
      </c>
      <c r="D43" s="26">
        <v>323.74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8">
        <v>6.0</v>
      </c>
      <c r="B44" s="26">
        <v>314.4</v>
      </c>
      <c r="C44" s="26">
        <v>1610.13</v>
      </c>
      <c r="D44" s="26">
        <v>3682.7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8" t="s">
        <v>132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4" t="s">
        <v>133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3" t="s">
        <v>134</v>
      </c>
      <c r="B51" s="26">
        <v>567.9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3" t="s">
        <v>135</v>
      </c>
      <c r="B52" s="26">
        <v>258.39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3" t="s">
        <v>136</v>
      </c>
      <c r="B53" s="26">
        <v>397.44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3" t="s">
        <v>137</v>
      </c>
      <c r="B55" s="26">
        <v>-1547.58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140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3" t="s">
        <v>141</v>
      </c>
      <c r="B61" s="26">
        <v>4.9643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3" t="s">
        <v>142</v>
      </c>
      <c r="B62" s="26">
        <v>17.5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9" t="s">
        <v>143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4" t="s">
        <v>145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0" t="s">
        <v>28</v>
      </c>
      <c r="B70" s="10" t="s">
        <v>39</v>
      </c>
      <c r="C70" s="10" t="s">
        <v>124</v>
      </c>
      <c r="D70" s="10" t="s">
        <v>125</v>
      </c>
      <c r="E70" s="10" t="s">
        <v>126</v>
      </c>
      <c r="F70" s="10" t="s">
        <v>44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1">
        <v>1.0</v>
      </c>
      <c r="B71" s="25">
        <v>10.0</v>
      </c>
      <c r="C71" s="25">
        <v>35.0</v>
      </c>
      <c r="D71" s="25">
        <v>37.5</v>
      </c>
      <c r="E71" s="25">
        <v>-2.5</v>
      </c>
      <c r="F71" s="25">
        <v>6.25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1">
        <v>2.0</v>
      </c>
      <c r="B72" s="25">
        <v>15.0</v>
      </c>
      <c r="C72" s="25">
        <v>52.0</v>
      </c>
      <c r="D72" s="25">
        <v>50.0</v>
      </c>
      <c r="E72" s="25">
        <v>2.0</v>
      </c>
      <c r="F72" s="25">
        <v>4.0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1">
        <v>3.0</v>
      </c>
      <c r="B73" s="25">
        <v>20.0</v>
      </c>
      <c r="C73" s="25">
        <v>58.0</v>
      </c>
      <c r="D73" s="25">
        <v>60.0</v>
      </c>
      <c r="E73" s="25">
        <v>-2.0</v>
      </c>
      <c r="F73" s="25">
        <v>4.0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1">
        <v>4.0</v>
      </c>
      <c r="B74" s="25">
        <v>30.0</v>
      </c>
      <c r="C74" s="25">
        <v>75.0</v>
      </c>
      <c r="D74" s="25">
        <v>75.0</v>
      </c>
      <c r="E74" s="25">
        <v>0.0</v>
      </c>
      <c r="F74" s="25">
        <v>0.0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1">
        <v>5.0</v>
      </c>
      <c r="B75" s="25">
        <v>40.0</v>
      </c>
      <c r="C75" s="25">
        <v>85.0</v>
      </c>
      <c r="D75" s="25">
        <v>85.71</v>
      </c>
      <c r="E75" s="25">
        <v>-0.71</v>
      </c>
      <c r="F75" s="25">
        <v>0.51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1">
        <v>6.0</v>
      </c>
      <c r="B76" s="25">
        <v>50.0</v>
      </c>
      <c r="C76" s="25">
        <v>95.0</v>
      </c>
      <c r="D76" s="25">
        <v>93.75</v>
      </c>
      <c r="E76" s="25">
        <v>1.25</v>
      </c>
      <c r="F76" s="25">
        <v>1.56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1">
        <v>7.0</v>
      </c>
      <c r="B77" s="25">
        <v>60.0</v>
      </c>
      <c r="C77" s="25">
        <v>100.0</v>
      </c>
      <c r="D77" s="25">
        <v>100.0</v>
      </c>
      <c r="E77" s="25">
        <v>0.0</v>
      </c>
      <c r="F77" s="25">
        <v>0.0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3" t="s">
        <v>45</v>
      </c>
      <c r="B79" s="26">
        <v>16.32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3" t="s">
        <v>146</v>
      </c>
      <c r="B80" s="26">
        <v>-0.2806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3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3" t="s">
        <v>147</v>
      </c>
      <c r="B82" s="26">
        <v>71.43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3" t="s">
        <v>116</v>
      </c>
      <c r="B83" s="26">
        <v>3453.71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3" t="s">
        <v>148</v>
      </c>
      <c r="B84" s="26">
        <v>0.9953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4" t="s">
        <v>138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149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150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151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2026-03-18T01:08:00Z</dcterms:created>
  <dc:creator>openpyxl</dc:creator>
</cp:coreProperties>
</file>