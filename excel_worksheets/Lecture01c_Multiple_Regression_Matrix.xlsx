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Data" sheetId="2" r:id="rId5"/>
    <sheet state="visible" name="Step2_Design_Matrix" sheetId="3" r:id="rId6"/>
    <sheet state="visible" name="Step3_XTX_and_XTY" sheetId="4" r:id="rId7"/>
    <sheet state="visible" name="Step4_Inverse" sheetId="5" r:id="rId8"/>
    <sheet state="visible" name="Step5_Coefficients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3Nm4mbGCeDqmsaF9ekN/kxJM9YDqlScz+hHmYSw1gXQ="/>
    </ext>
  </extLst>
</workbook>
</file>

<file path=xl/sharedStrings.xml><?xml version="1.0" encoding="utf-8"?>
<sst xmlns="http://schemas.openxmlformats.org/spreadsheetml/2006/main" count="140" uniqueCount="127">
  <si>
    <t>[Description] Multiple Regression Matrix Calculations</t>
  </si>
  <si>
    <t>Multiple Regression Matrix Calculations Worksheet</t>
  </si>
  <si>
    <t>Dataset:</t>
  </si>
  <si>
    <t>decathlon.csv (4 athletes for tractable calculation)</t>
  </si>
  <si>
    <t>Y variable:</t>
  </si>
  <si>
    <t>Points (total decathlon points)</t>
  </si>
  <si>
    <t>X variable:</t>
  </si>
  <si>
    <t>X100m (100 meter dash time)</t>
  </si>
  <si>
    <t>Learning Objectives:</t>
  </si>
  <si>
    <t>1. Construct the design matrix X with intercept column</t>
  </si>
  <si>
    <t>2. Calculate XᵀX (X transpose times X)</t>
  </si>
  <si>
    <t>3. Calculate XᵀY (X transpose times Y)</t>
  </si>
  <si>
    <t>4. Find (XᵀX)⁻¹ for 2x2 matrix</t>
  </si>
  <si>
    <t>5. Compute β̂ = (XᵀX)⁻¹ XᵀY</t>
  </si>
  <si>
    <t>Key Formulas:</t>
  </si>
  <si>
    <t>Design matrix:</t>
  </si>
  <si>
    <t>X = [1, x₁; 1, x₂; ...]</t>
  </si>
  <si>
    <t>Normal equations:</t>
  </si>
  <si>
    <t>XᵀX × β̂ = XᵀY</t>
  </si>
  <si>
    <t>Solution:</t>
  </si>
  <si>
    <t>β̂ = (XᵀX)⁻¹ XᵀY</t>
  </si>
  <si>
    <t>2x2 inverse:</t>
  </si>
  <si>
    <t>For [[a,b],[c,d]]: inverse = 1/(ad-bc) × [[d,-b],[-c,a]]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</si>
  <si>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</si>
  <si>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</si>
  <si>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</si>
  <si>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</si>
  <si>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</si>
  <si>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</si>
  <si>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Decathlon Data - 4 Olympic Athletes</t>
  </si>
  <si>
    <t>Athlete</t>
  </si>
  <si>
    <t>X (100m time)</t>
  </si>
  <si>
    <t>Y (Points)</t>
  </si>
  <si>
    <t>Sebrle</t>
  </si>
  <si>
    <t>Clay</t>
  </si>
  <si>
    <t>Karpov</t>
  </si>
  <si>
    <t>Macey</t>
  </si>
  <si>
    <t>Goal: Find Y = β₀ + β₁X (predict Points from 100m time)</t>
  </si>
  <si>
    <t>[Description] STEP 1: Construct Design Matrix X</t>
  </si>
  <si>
    <t>The design matrix X has a column of 1s (for intercept) and a column of X values</t>
  </si>
  <si>
    <t>Design Matrix X:</t>
  </si>
  <si>
    <t>Y Vector:</t>
  </si>
  <si>
    <t>1</t>
  </si>
  <si>
    <t>X₁</t>
  </si>
  <si>
    <t>Y</t>
  </si>
  <si>
    <t>Row 1</t>
  </si>
  <si>
    <t>Row 2</t>
  </si>
  <si>
    <t>Row 3</t>
  </si>
  <si>
    <t>Row 4</t>
  </si>
  <si>
    <t>X is a 4×2 matrix (n=4 observations, p=2 parameters)</t>
  </si>
  <si>
    <t>Y is a 4×1 vector</t>
  </si>
  <si>
    <t>[Description] STEP 2: Calculate X'X and X'Y</t>
  </si>
  <si>
    <t>X'X (2×2 matrix):</t>
  </si>
  <si>
    <t>X'Y (2×1 vector):</t>
  </si>
  <si>
    <t>X' is 2×4, X is 4×2, so X'X is 2×2</t>
  </si>
  <si>
    <t>Element calculations:</t>
  </si>
  <si>
    <t>X'Y[1] = Σy = ?</t>
  </si>
  <si>
    <t>X'X[1,1] = Σ1² = n = ?</t>
  </si>
  <si>
    <t>X'Y[2] = Σxy = ?</t>
  </si>
  <si>
    <t>X'X[1,2] = X'X[2,1] = Σx = ?</t>
  </si>
  <si>
    <t>X'X[2,2] = Σx² = ?</t>
  </si>
  <si>
    <t>X'X =</t>
  </si>
  <si>
    <t>X'Y =</t>
  </si>
  <si>
    <t>[Description] STEP 3: Calculate (X'X)^-1</t>
  </si>
  <si>
    <t>For 2×2 matrix [[a,b],[c,d]]:</t>
  </si>
  <si>
    <t>Inverse = 1/(ad-bc) × [[d, -b], [-c, a]]</t>
  </si>
  <si>
    <t>Our X'X:</t>
  </si>
  <si>
    <t>a = 4</t>
  </si>
  <si>
    <t>b = 42.68</t>
  </si>
  <si>
    <t>c = 42.68</t>
  </si>
  <si>
    <t>d = 455.5582</t>
  </si>
  <si>
    <t>Step 1: Calculate determinant</t>
  </si>
  <si>
    <t>det = ad - bc</t>
  </si>
  <si>
    <t>'= 4×455.5582 - 42.68×42.68</t>
  </si>
  <si>
    <t>'= 1822.2328 - 1821.5824</t>
  </si>
  <si>
    <t>'= 0.6504</t>
  </si>
  <si>
    <t>Step 2: Apply formula</t>
  </si>
  <si>
    <t>(X'X)^-1[1,1] = d/det = 455.5582/0.6504 = 700.427737</t>
  </si>
  <si>
    <t>(X'X)^-1[1,2] = -b/det = -42.68/0.6504 = -65.621156</t>
  </si>
  <si>
    <t>(X'X)^-1[2,1] = -c/det = -42.68/0.6504 = -65.621156</t>
  </si>
  <si>
    <t>(X'X)^-1[2,2] = a/det = 4/0.6504 = 6.150062</t>
  </si>
  <si>
    <t>(X'X)^-1 =</t>
  </si>
  <si>
    <t>[Description] STEP 4: Calculate β̂ = (X'X)^-1 X'Y</t>
  </si>
  <si>
    <t>Matrix multiplication (2×2) × (2×1) = (2×1)</t>
  </si>
  <si>
    <t>Calculation:</t>
  </si>
  <si>
    <t>β̂₀ = (X'X)^-1[1,1] × X'Y[1] + (X'X)^-1[1,2] × X'Y[2]</t>
  </si>
  <si>
    <t>'= 700.427737 × 34852 + -65.621156 × 371810.81</t>
  </si>
  <si>
    <t>'= 24411307.4822 + (-24398655.2442)</t>
  </si>
  <si>
    <t>β̂₁ = (X'X)^-1[2,1] × X'Y[1] + (X'X)^-1[2,2] × X'Y[2]</t>
  </si>
  <si>
    <t>'= -65.621156 × 34852 + 6.150062 × 371810.81</t>
  </si>
  <si>
    <t>'= -2287028.5363 + 2286659.3481</t>
  </si>
  <si>
    <t>Final Regression Equation:</t>
  </si>
  <si>
    <t>Interpretation:</t>
  </si>
  <si>
    <t>For every 1 second increase in 100m time, Points decrease by 369</t>
  </si>
  <si>
    <t>(Faster runners = more points, which makes sense!)</t>
  </si>
  <si>
    <t>Verification (calculate ŷ for each athlete):</t>
  </si>
  <si>
    <t>X</t>
  </si>
  <si>
    <t>Y (actual)</t>
  </si>
  <si>
    <t>ŷ (predicted)</t>
  </si>
  <si>
    <t>Residual</t>
  </si>
  <si>
    <t>[Description] Answer Key - All Matrix Calculations</t>
  </si>
  <si>
    <t>Individual Answers</t>
  </si>
  <si>
    <t>X'X:</t>
  </si>
  <si>
    <t>Step4 Inverse Matrix:</t>
  </si>
  <si>
    <t>[[4, 42.68], [42.68, 455.5582]]</t>
  </si>
  <si>
    <t>B23:</t>
  </si>
  <si>
    <t>C23:</t>
  </si>
  <si>
    <t>X'Y:</t>
  </si>
  <si>
    <t>B24:</t>
  </si>
  <si>
    <t>[34852, 371810.81]</t>
  </si>
  <si>
    <t>C24:</t>
  </si>
  <si>
    <t>Determinant:</t>
  </si>
  <si>
    <t>Step5 Coefficients:</t>
  </si>
  <si>
    <t>0.6504</t>
  </si>
  <si>
    <t>A9 (Det):</t>
  </si>
  <si>
    <t>A14 (β₀):</t>
  </si>
  <si>
    <t>(X'X)^-1:</t>
  </si>
  <si>
    <t>A17:</t>
  </si>
  <si>
    <t>[[700.427737, -65.621156], [-65.621156, 6.150062]]</t>
  </si>
  <si>
    <t>A18:</t>
  </si>
  <si>
    <t>Coefficients:</t>
  </si>
  <si>
    <t>β̂₀ = 12652.2380</t>
  </si>
  <si>
    <t>β̂₁ = -369.1882</t>
  </si>
  <si>
    <t>Regression Equation:</t>
  </si>
  <si>
    <t>ŷ = 12652.24 + (-369.19)x</t>
  </si>
  <si>
    <t>Verification (Predicted values and Residuals):</t>
  </si>
  <si>
    <t>Y-hat (predicted)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</si>
</sst>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00000"/>
    <numFmt numFmtId="166" formatCode="0.0"/>
  </numFmts>
  <fonts count="19">
    <font>
      <sz val="11.0"/>
      <color theme="1"/>
      <name val="Calibri"/>
      <scheme val="minor"/>
    </font>
    <font>
      <sz val="11.0"/>
      <color rgb="FF505050"/>
      <name val="Calibri"/>
    </font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mbria"/>
    </font>
    <font/>
    <font>
      <b/>
      <sz val="11.0"/>
      <color rgb="FFFFFFFF"/>
      <name val="Cambria"/>
    </font>
    <font>
      <i/>
      <sz val="11.0"/>
      <color theme="1"/>
      <name val="Cambria"/>
    </font>
    <font>
      <sz val="11.0"/>
      <color rgb="FFFFFFFF"/>
      <name val="Calibri"/>
    </font>
    <font>
      <b/>
      <sz val="12.0"/>
      <color theme="1"/>
      <name val="Cambria"/>
    </font>
    <font>
      <b/>
      <sz val="9.0"/>
      <color theme="1"/>
      <name val="Calibri"/>
    </font>
    <font>
      <b/>
      <sz val="12.0"/>
      <color rgb="FFFFFFFF"/>
      <name val="Calibri"/>
      <scheme val="minor"/>
    </font>
    <font>
      <b/>
      <color rgb="FFFFFFFF"/>
      <name val="Calibri"/>
      <scheme val="minor"/>
    </font>
    <font>
      <b/>
      <color rgb="FF000000"/>
      <name val="Calibri"/>
      <scheme val="minor"/>
    </font>
    <font>
      <color rgb="FF000000"/>
      <name val="Calibri"/>
      <scheme val="minor"/>
    </font>
    <font>
      <b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D9EAD3"/>
        <bgColor rgb="FFD9EAD3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right"/>
    </xf>
    <xf borderId="2" fillId="3" fontId="6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3" fillId="2" fontId="7" numFmtId="0" xfId="0" applyBorder="1" applyFont="1"/>
    <xf borderId="4" fillId="0" fontId="8" numFmtId="0" xfId="0" applyBorder="1" applyFont="1"/>
    <xf borderId="5" fillId="0" fontId="8" numFmtId="0" xfId="0" applyBorder="1" applyFont="1"/>
    <xf borderId="1" fillId="9" fontId="9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1" fillId="4" fontId="2" numFmtId="2" xfId="0" applyAlignment="1" applyBorder="1" applyFont="1" applyNumberFormat="1">
      <alignment horizontal="center"/>
    </xf>
    <xf borderId="0" fillId="0" fontId="10" numFmtId="0" xfId="0" applyFont="1"/>
    <xf borderId="3" fillId="0" fontId="7" numFmtId="0" xfId="0" applyBorder="1" applyFont="1"/>
    <xf borderId="1" fillId="0" fontId="7" numFmtId="0" xfId="0" applyBorder="1" applyFont="1"/>
    <xf borderId="0" fillId="9" fontId="11" numFmtId="0" xfId="0" applyAlignment="1" applyFont="1">
      <alignment horizontal="center"/>
    </xf>
    <xf borderId="1" fillId="9" fontId="9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1" fillId="9" fontId="11" numFmtId="0" xfId="0" applyAlignment="1" applyBorder="1" applyFont="1">
      <alignment horizontal="center"/>
    </xf>
    <xf borderId="1" fillId="5" fontId="2" numFmtId="0" xfId="0" applyAlignment="1" applyBorder="1" applyFont="1">
      <alignment horizontal="center" vertical="center"/>
    </xf>
    <xf borderId="1" fillId="6" fontId="2" numFmtId="2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/>
    </xf>
    <xf borderId="1" fillId="0" fontId="10" numFmtId="0" xfId="0" applyBorder="1" applyFont="1"/>
    <xf borderId="1" fillId="10" fontId="2" numFmtId="0" xfId="0" applyBorder="1" applyFill="1" applyFont="1"/>
    <xf borderId="1" fillId="0" fontId="7" numFmtId="0" xfId="0" applyAlignment="1" applyBorder="1" applyFont="1">
      <alignment horizontal="right"/>
    </xf>
    <xf borderId="1" fillId="6" fontId="2" numFmtId="164" xfId="0" applyAlignment="1" applyBorder="1" applyFont="1" applyNumberFormat="1">
      <alignment horizontal="center" vertical="center"/>
    </xf>
    <xf borderId="0" fillId="0" fontId="7" numFmtId="0" xfId="0" applyFont="1"/>
    <xf borderId="0" fillId="0" fontId="7" numFmtId="0" xfId="0" applyAlignment="1" applyFont="1">
      <alignment horizontal="right"/>
    </xf>
    <xf borderId="5" fillId="5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0" fillId="10" fontId="2" numFmtId="0" xfId="0" applyFont="1"/>
    <xf borderId="1" fillId="6" fontId="2" numFmtId="165" xfId="0" applyBorder="1" applyFont="1" applyNumberFormat="1"/>
    <xf borderId="1" fillId="6" fontId="2" numFmtId="0" xfId="0" applyBorder="1" applyFont="1"/>
    <xf borderId="1" fillId="0" fontId="12" numFmtId="0" xfId="0" applyBorder="1" applyFont="1"/>
    <xf borderId="1" fillId="6" fontId="7" numFmtId="0" xfId="0" applyBorder="1" applyFont="1"/>
    <xf borderId="0" fillId="0" fontId="13" numFmtId="0" xfId="0" applyFont="1"/>
    <xf borderId="1" fillId="3" fontId="2" numFmtId="0" xfId="0" applyAlignment="1" applyBorder="1" applyFont="1">
      <alignment horizontal="center"/>
    </xf>
    <xf borderId="1" fillId="6" fontId="2" numFmtId="166" xfId="0" applyAlignment="1" applyBorder="1" applyFont="1" applyNumberFormat="1">
      <alignment horizontal="center"/>
    </xf>
    <xf borderId="0" fillId="11" fontId="14" numFmtId="0" xfId="0" applyAlignment="1" applyFill="1" applyFont="1">
      <alignment horizontal="center"/>
    </xf>
    <xf borderId="1" fillId="9" fontId="9" numFmtId="0" xfId="0" applyBorder="1" applyFont="1"/>
    <xf borderId="1" fillId="9" fontId="15" numFmtId="0" xfId="0" applyBorder="1" applyFont="1"/>
    <xf borderId="1" fillId="12" fontId="2" numFmtId="0" xfId="0" applyBorder="1" applyFill="1" applyFont="1"/>
    <xf borderId="1" fillId="13" fontId="16" numFmtId="0" xfId="0" applyAlignment="1" applyBorder="1" applyFill="1" applyFont="1">
      <alignment horizontal="right"/>
    </xf>
    <xf borderId="1" fillId="14" fontId="17" numFmtId="165" xfId="0" applyAlignment="1" applyBorder="1" applyFill="1" applyFont="1" applyNumberFormat="1">
      <alignment horizontal="right"/>
    </xf>
    <xf borderId="1" fillId="14" fontId="17" numFmtId="2" xfId="0" applyAlignment="1" applyBorder="1" applyFont="1" applyNumberFormat="1">
      <alignment horizontal="right"/>
    </xf>
    <xf borderId="2" fillId="3" fontId="2" numFmtId="0" xfId="0" applyBorder="1" applyFont="1"/>
    <xf borderId="6" fillId="9" fontId="9" numFmtId="0" xfId="0" applyAlignment="1" applyBorder="1" applyFont="1">
      <alignment horizontal="center"/>
    </xf>
    <xf borderId="1" fillId="12" fontId="2" numFmtId="0" xfId="0" applyAlignment="1" applyBorder="1" applyFont="1">
      <alignment horizontal="center"/>
    </xf>
    <xf borderId="0" fillId="0" fontId="18" numFmtId="0" xfId="0" applyFont="1"/>
  </cellXfs>
  <cellStyles count="1">
    <cellStyle xfId="0" name="Normal" builtinId="0"/>
  </cellStyles>
  <dxfs count="2">
    <dxf>
      <font/>
      <fill>
        <patternFill patternType="solid">
          <fgColor rgb="FF90EE90"/>
          <bgColor rgb="FF90EE90"/>
        </patternFill>
      </fill>
      <border/>
    </dxf>
    <dxf>
      <font/>
      <fill>
        <patternFill patternType="solid">
          <fgColor rgb="FFFFB6C1"/>
          <bgColor rgb="FFFFB6C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8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 t="s">
        <v>2</v>
      </c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4</v>
      </c>
      <c r="B6" s="2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6</v>
      </c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4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4" t="s">
        <v>14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5" t="s">
        <v>15</v>
      </c>
      <c r="B20" s="6" t="s">
        <v>16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5" t="s">
        <v>17</v>
      </c>
      <c r="B21" s="6" t="s">
        <v>18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5" t="s">
        <v>19</v>
      </c>
      <c r="B22" s="6" t="s">
        <v>20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5" t="s">
        <v>21</v>
      </c>
      <c r="B23" s="6" t="s">
        <v>22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4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7"/>
      <c r="B28" s="2" t="s">
        <v>24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8"/>
      <c r="B29" s="2" t="s">
        <v>25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9"/>
      <c r="B30" s="2" t="s">
        <v>26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0"/>
      <c r="B31" s="2" t="s">
        <v>27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1"/>
      <c r="B32" s="2" t="s">
        <v>28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6.0"/>
    <col customWidth="1" min="4" max="6" width="8.71"/>
  </cols>
  <sheetData>
    <row r="1" ht="14.25" customHeight="1">
      <c r="A1" s="12" t="s">
        <v>29</v>
      </c>
      <c r="B1" s="13"/>
      <c r="C1" s="13"/>
      <c r="D1" s="1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5" t="s">
        <v>30</v>
      </c>
      <c r="B3" s="15" t="s">
        <v>31</v>
      </c>
      <c r="C3" s="15" t="s">
        <v>32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6" t="s">
        <v>33</v>
      </c>
      <c r="B4" s="17">
        <v>10.85</v>
      </c>
      <c r="C4" s="16">
        <v>8893.0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6" t="s">
        <v>34</v>
      </c>
      <c r="B5" s="17">
        <v>10.44</v>
      </c>
      <c r="C5" s="16">
        <v>8820.0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6" t="s">
        <v>35</v>
      </c>
      <c r="B6" s="17">
        <v>10.5</v>
      </c>
      <c r="C6" s="16">
        <v>8725.0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6" t="s">
        <v>36</v>
      </c>
      <c r="B7" s="17">
        <v>10.89</v>
      </c>
      <c r="C7" s="16">
        <v>8414.0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 t="s">
        <v>37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2.0"/>
    <col customWidth="1" min="6" max="6" width="8.71"/>
  </cols>
  <sheetData>
    <row r="1" ht="14.25" customHeight="1">
      <c r="A1" s="12" t="s">
        <v>38</v>
      </c>
      <c r="B1" s="13"/>
      <c r="C1" s="13"/>
      <c r="D1" s="13"/>
      <c r="E1" s="13"/>
      <c r="F1" s="1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8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9" t="s">
        <v>40</v>
      </c>
      <c r="B5" s="13"/>
      <c r="C5" s="14"/>
      <c r="D5" s="2"/>
      <c r="E5" s="20" t="s">
        <v>41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1"/>
      <c r="B6" s="22" t="s">
        <v>42</v>
      </c>
      <c r="C6" s="22" t="s">
        <v>43</v>
      </c>
      <c r="D6" s="23"/>
      <c r="E6" s="22" t="s">
        <v>44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4" t="s">
        <v>45</v>
      </c>
      <c r="B7" s="25">
        <v>1.0</v>
      </c>
      <c r="C7" s="26"/>
      <c r="D7" s="23"/>
      <c r="E7" s="2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4" t="s">
        <v>46</v>
      </c>
      <c r="B8" s="25">
        <v>1.0</v>
      </c>
      <c r="C8" s="26"/>
      <c r="D8" s="23"/>
      <c r="E8" s="2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4" t="s">
        <v>47</v>
      </c>
      <c r="B9" s="25">
        <v>1.0</v>
      </c>
      <c r="C9" s="26"/>
      <c r="D9" s="23"/>
      <c r="E9" s="2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4" t="s">
        <v>48</v>
      </c>
      <c r="B10" s="25">
        <v>1.0</v>
      </c>
      <c r="C10" s="26"/>
      <c r="D10" s="23"/>
      <c r="E10" s="2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49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50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F1"/>
    <mergeCell ref="A5:C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4" width="14.0"/>
    <col customWidth="1" min="5" max="5" width="17.71"/>
    <col customWidth="1" min="6" max="6" width="14.0"/>
    <col customWidth="1" min="7" max="7" width="8.71"/>
  </cols>
  <sheetData>
    <row r="1" ht="14.25" customHeight="1">
      <c r="A1" s="12" t="s">
        <v>51</v>
      </c>
      <c r="B1" s="13"/>
      <c r="C1" s="13"/>
      <c r="D1" s="13"/>
      <c r="E1" s="13"/>
      <c r="F1" s="13"/>
      <c r="G1" s="1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0" t="s">
        <v>52</v>
      </c>
      <c r="B3" s="2"/>
      <c r="C3" s="2"/>
      <c r="D3" s="2"/>
      <c r="E3" s="20" t="s">
        <v>53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9" t="s">
        <v>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0" t="s">
        <v>55</v>
      </c>
      <c r="B6" s="2"/>
      <c r="C6" s="2"/>
      <c r="D6" s="2"/>
      <c r="E6" s="30" t="s">
        <v>56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0" t="s">
        <v>57</v>
      </c>
      <c r="B7" s="2"/>
      <c r="C7" s="2"/>
      <c r="D7" s="2"/>
      <c r="E7" s="30" t="s">
        <v>58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0" t="s">
        <v>59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0" t="s">
        <v>60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1" t="s">
        <v>61</v>
      </c>
      <c r="B11" s="2"/>
      <c r="C11" s="2"/>
      <c r="D11" s="2"/>
      <c r="E11" s="31" t="s">
        <v>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7"/>
      <c r="C12" s="26"/>
      <c r="D12" s="2"/>
      <c r="E12" s="2"/>
      <c r="F12" s="2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6"/>
      <c r="C13" s="32"/>
      <c r="D13" s="2"/>
      <c r="E13" s="2"/>
      <c r="F13" s="2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0.57"/>
    <col customWidth="1" min="3" max="3" width="14.0"/>
    <col customWidth="1" min="4" max="7" width="8.71"/>
  </cols>
  <sheetData>
    <row r="1" ht="14.25" customHeight="1">
      <c r="A1" s="12" t="s">
        <v>63</v>
      </c>
      <c r="B1" s="13"/>
      <c r="C1" s="13"/>
      <c r="D1" s="13"/>
      <c r="E1" s="13"/>
      <c r="F1" s="13"/>
      <c r="G1" s="1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3" t="s">
        <v>64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8" t="s">
        <v>65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4" t="s">
        <v>66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/>
      <c r="B7" s="35" t="s">
        <v>67</v>
      </c>
      <c r="C7" s="36" t="s">
        <v>68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35" t="s">
        <v>69</v>
      </c>
      <c r="C8" s="36" t="s">
        <v>70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3" t="s">
        <v>71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72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73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74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7" t="s">
        <v>75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3" t="s">
        <v>76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 t="s">
        <v>77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 t="s">
        <v>78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 t="s">
        <v>79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 t="s">
        <v>80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34" t="s">
        <v>81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38"/>
      <c r="C23" s="3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38"/>
      <c r="C24" s="3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5" width="14.0"/>
    <col customWidth="1" min="6" max="7" width="8.71"/>
  </cols>
  <sheetData>
    <row r="1" ht="14.25" customHeight="1">
      <c r="A1" s="12" t="s">
        <v>82</v>
      </c>
      <c r="B1" s="13"/>
      <c r="C1" s="13"/>
      <c r="D1" s="13"/>
      <c r="E1" s="13"/>
      <c r="F1" s="13"/>
      <c r="G1" s="1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8" t="s">
        <v>83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3" t="s">
        <v>84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2" t="s">
        <v>85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2" t="s">
        <v>86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 t="s">
        <v>87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9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 t="s">
        <v>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 t="s">
        <v>89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90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40" t="s">
        <v>91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3" t="s">
        <v>92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 t="s">
        <v>93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 t="s">
        <v>94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9" t="s">
        <v>95</v>
      </c>
      <c r="B24" s="13"/>
      <c r="C24" s="13"/>
      <c r="D24" s="13"/>
      <c r="E24" s="1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5" t="s">
        <v>30</v>
      </c>
      <c r="B25" s="15" t="s">
        <v>96</v>
      </c>
      <c r="C25" s="15" t="s">
        <v>97</v>
      </c>
      <c r="D25" s="15" t="s">
        <v>98</v>
      </c>
      <c r="E25" s="15" t="s">
        <v>99</v>
      </c>
      <c r="F25" s="42"/>
      <c r="G25" s="4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43" t="s">
        <v>33</v>
      </c>
      <c r="B26" s="17">
        <v>10.85</v>
      </c>
      <c r="C26" s="16">
        <v>8893.0</v>
      </c>
      <c r="D26" s="44"/>
      <c r="E26" s="44"/>
      <c r="F26" s="23"/>
      <c r="G26" s="2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43" t="s">
        <v>34</v>
      </c>
      <c r="B27" s="17">
        <v>10.44</v>
      </c>
      <c r="C27" s="16">
        <v>8820.0</v>
      </c>
      <c r="D27" s="44"/>
      <c r="E27" s="44"/>
      <c r="F27" s="23"/>
      <c r="G27" s="2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43" t="s">
        <v>35</v>
      </c>
      <c r="B28" s="17">
        <v>10.5</v>
      </c>
      <c r="C28" s="16">
        <v>8725.0</v>
      </c>
      <c r="D28" s="44"/>
      <c r="E28" s="44"/>
      <c r="F28" s="23"/>
      <c r="G28" s="2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 t="s">
        <v>36</v>
      </c>
      <c r="B29" s="17">
        <v>10.89</v>
      </c>
      <c r="C29" s="16">
        <v>8414.0</v>
      </c>
      <c r="D29" s="44"/>
      <c r="E29" s="44"/>
      <c r="F29" s="23" t="str">
        <f>IF(D29="","",IF(ROUND(D29,1)=8631.8,"✓","✗"))</f>
        <v/>
      </c>
      <c r="G29" s="23" t="str">
        <f>IF(E29="","",IF(ROUND(E29,1)=-217.8,"✓","✗"))</f>
        <v/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4:E24"/>
  </mergeCells>
  <conditionalFormatting sqref="D26">
    <cfRule type="expression" dxfId="0" priority="1">
      <formula>ROUND(D26,1)=8646.5</formula>
    </cfRule>
  </conditionalFormatting>
  <conditionalFormatting sqref="D26">
    <cfRule type="expression" dxfId="1" priority="2">
      <formula>AND(D26&lt;&gt;"",ROUND(D26,1)&lt;&gt;8646.5)</formula>
    </cfRule>
  </conditionalFormatting>
  <conditionalFormatting sqref="D27">
    <cfRule type="expression" dxfId="0" priority="3">
      <formula>ROUND(D27,1)=8797.9</formula>
    </cfRule>
  </conditionalFormatting>
  <conditionalFormatting sqref="D27">
    <cfRule type="expression" dxfId="1" priority="4">
      <formula>AND(D27&lt;&gt;"",ROUND(D27,1)&lt;&gt;8797.9)</formula>
    </cfRule>
  </conditionalFormatting>
  <conditionalFormatting sqref="D28">
    <cfRule type="expression" dxfId="0" priority="5">
      <formula>ROUND(D28,1)=8775.8</formula>
    </cfRule>
  </conditionalFormatting>
  <conditionalFormatting sqref="D28">
    <cfRule type="expression" dxfId="1" priority="6">
      <formula>AND(D28&lt;&gt;"",ROUND(D28,1)&lt;&gt;8775.8)</formula>
    </cfRule>
  </conditionalFormatting>
  <conditionalFormatting sqref="D29">
    <cfRule type="expression" dxfId="0" priority="7">
      <formula>ROUND(D29,1)=8631.8</formula>
    </cfRule>
  </conditionalFormatting>
  <conditionalFormatting sqref="D29">
    <cfRule type="expression" dxfId="1" priority="8">
      <formula>AND(D29&lt;&gt;"",ROUND(D29,1)&lt;&gt;8631.8)</formula>
    </cfRule>
  </conditionalFormatting>
  <conditionalFormatting sqref="E26">
    <cfRule type="expression" dxfId="0" priority="9">
      <formula>ROUND(E26,1)=246.5</formula>
    </cfRule>
  </conditionalFormatting>
  <conditionalFormatting sqref="E26">
    <cfRule type="expression" dxfId="1" priority="10">
      <formula>AND(E26&lt;&gt;"",ROUND(E26,1)&lt;&gt;246.5)</formula>
    </cfRule>
  </conditionalFormatting>
  <conditionalFormatting sqref="E27">
    <cfRule type="expression" dxfId="0" priority="11">
      <formula>ROUND(E27,1)=22.1</formula>
    </cfRule>
  </conditionalFormatting>
  <conditionalFormatting sqref="E27">
    <cfRule type="expression" dxfId="1" priority="12">
      <formula>AND(E27&lt;&gt;"",ROUND(E27,1)&lt;&gt;22.1)</formula>
    </cfRule>
  </conditionalFormatting>
  <conditionalFormatting sqref="E28">
    <cfRule type="expression" dxfId="0" priority="13">
      <formula>ROUND(E28,1)=-50.8</formula>
    </cfRule>
  </conditionalFormatting>
  <conditionalFormatting sqref="E28">
    <cfRule type="expression" dxfId="1" priority="14">
      <formula>AND(E28&lt;&gt;"",ROUND(E28,1)&lt;&gt;-50.8)</formula>
    </cfRule>
  </conditionalFormatting>
  <conditionalFormatting sqref="E29">
    <cfRule type="expression" dxfId="0" priority="15">
      <formula>ROUND(E29,1)=-217.8</formula>
    </cfRule>
  </conditionalFormatting>
  <conditionalFormatting sqref="E29">
    <cfRule type="expression" dxfId="1" priority="16">
      <formula>AND(E29&lt;&gt;"",ROUND(E29,1)&lt;&gt;-217.8)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8.71"/>
    <col customWidth="1" min="3" max="3" width="11.0"/>
    <col customWidth="1" min="4" max="4" width="18.86"/>
    <col customWidth="1" min="5" max="5" width="11.0"/>
    <col customWidth="1" min="6" max="6" width="8.71"/>
    <col customWidth="1" min="7" max="7" width="26.29"/>
    <col customWidth="1" min="8" max="8" width="20.86"/>
  </cols>
  <sheetData>
    <row r="1" ht="14.25" customHeight="1">
      <c r="A1" s="12" t="s">
        <v>100</v>
      </c>
      <c r="B1" s="13"/>
      <c r="C1" s="13"/>
      <c r="D1" s="13"/>
      <c r="E1" s="14"/>
      <c r="F1" s="2"/>
      <c r="G1" s="2"/>
      <c r="H1" s="45" t="s">
        <v>101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6" t="s">
        <v>102</v>
      </c>
      <c r="B3" s="2"/>
      <c r="C3" s="2"/>
      <c r="D3" s="2"/>
      <c r="E3" s="2"/>
      <c r="F3" s="2"/>
      <c r="G3" s="47" t="s">
        <v>103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8" t="s">
        <v>104</v>
      </c>
      <c r="B4" s="2"/>
      <c r="C4" s="2"/>
      <c r="D4" s="2"/>
      <c r="E4" s="2"/>
      <c r="F4" s="2"/>
      <c r="G4" s="49" t="s">
        <v>105</v>
      </c>
      <c r="H4" s="50">
        <v>700.427737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49" t="s">
        <v>106</v>
      </c>
      <c r="H5" s="50">
        <v>-65.621156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6" t="s">
        <v>107</v>
      </c>
      <c r="B6" s="2"/>
      <c r="C6" s="2"/>
      <c r="D6" s="2"/>
      <c r="E6" s="2"/>
      <c r="F6" s="2"/>
      <c r="G6" s="49" t="s">
        <v>108</v>
      </c>
      <c r="H6" s="50">
        <v>-65.621156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8" t="s">
        <v>109</v>
      </c>
      <c r="B7" s="2"/>
      <c r="C7" s="2"/>
      <c r="D7" s="2"/>
      <c r="E7" s="2"/>
      <c r="F7" s="2"/>
      <c r="G7" s="49" t="s">
        <v>110</v>
      </c>
      <c r="H7" s="50">
        <v>6.150062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6" t="s">
        <v>111</v>
      </c>
      <c r="B9" s="2"/>
      <c r="C9" s="2"/>
      <c r="D9" s="2"/>
      <c r="E9" s="2"/>
      <c r="F9" s="2"/>
      <c r="G9" s="47" t="s">
        <v>112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8" t="s">
        <v>113</v>
      </c>
      <c r="B10" s="2"/>
      <c r="C10" s="2"/>
      <c r="D10" s="2"/>
      <c r="E10" s="2"/>
      <c r="F10" s="2"/>
      <c r="G10" s="49" t="s">
        <v>114</v>
      </c>
      <c r="H10" s="51">
        <v>0.6504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"/>
      <c r="B11" s="2"/>
      <c r="C11" s="2"/>
      <c r="D11" s="2"/>
      <c r="E11" s="2"/>
      <c r="F11" s="2"/>
      <c r="G11" s="49" t="s">
        <v>115</v>
      </c>
      <c r="H11" s="51">
        <v>12652.238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46" t="s">
        <v>116</v>
      </c>
      <c r="B12" s="2"/>
      <c r="C12" s="2"/>
      <c r="D12" s="2"/>
      <c r="E12" s="2"/>
      <c r="F12" s="2"/>
      <c r="G12" s="49" t="s">
        <v>117</v>
      </c>
      <c r="H12" s="51">
        <v>12652.24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48" t="s">
        <v>118</v>
      </c>
      <c r="B13" s="2"/>
      <c r="C13" s="2"/>
      <c r="D13" s="2"/>
      <c r="E13" s="2"/>
      <c r="F13" s="2"/>
      <c r="G13" s="49" t="s">
        <v>119</v>
      </c>
      <c r="H13" s="51">
        <v>-369.19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46" t="s">
        <v>120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48" t="s">
        <v>121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48" t="s">
        <v>122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46" t="s">
        <v>123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48" t="s">
        <v>124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52" t="s">
        <v>125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53" t="s">
        <v>30</v>
      </c>
      <c r="B23" s="53" t="s">
        <v>96</v>
      </c>
      <c r="C23" s="53" t="s">
        <v>97</v>
      </c>
      <c r="D23" s="53" t="s">
        <v>126</v>
      </c>
      <c r="E23" s="53" t="s">
        <v>99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4" t="s">
        <v>33</v>
      </c>
      <c r="B24" s="54">
        <v>10.85</v>
      </c>
      <c r="C24" s="54">
        <v>8893.0</v>
      </c>
      <c r="D24" s="54">
        <v>8646.5</v>
      </c>
      <c r="E24" s="54">
        <v>246.5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4" t="s">
        <v>34</v>
      </c>
      <c r="B25" s="54">
        <v>10.44</v>
      </c>
      <c r="C25" s="54">
        <v>8820.0</v>
      </c>
      <c r="D25" s="54">
        <v>8797.9</v>
      </c>
      <c r="E25" s="54">
        <v>22.1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4" t="s">
        <v>35</v>
      </c>
      <c r="B26" s="54">
        <v>10.5</v>
      </c>
      <c r="C26" s="54">
        <v>8725.0</v>
      </c>
      <c r="D26" s="54">
        <v>8775.8</v>
      </c>
      <c r="E26" s="54">
        <v>-50.8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4" t="s">
        <v>36</v>
      </c>
      <c r="B27" s="54">
        <v>10.89</v>
      </c>
      <c r="C27" s="54">
        <v>8414.0</v>
      </c>
      <c r="D27" s="54">
        <v>8631.8</v>
      </c>
      <c r="E27" s="54">
        <v>-217.8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55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55"/>
      <c r="B30" s="55"/>
      <c r="C30" s="55"/>
      <c r="D30" s="55"/>
      <c r="E30" s="5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2026-02-17T02:10:31Z</dcterms:created>
  <dc:creator>openpyxl</dc:creator>
</cp:coreProperties>
</file>