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Basic_Statistics" sheetId="2" r:id="rId5"/>
    <sheet state="visible" name="Step2_Coefficients" sheetId="3" r:id="rId6"/>
    <sheet state="visible" name="Step3_Residuals" sheetId="4" r:id="rId7"/>
    <sheet state="visible" name="Step4_R_Squared" sheetId="5" r:id="rId8"/>
    <sheet state="visible" name="Step5_T_Test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y4qS8yFz2dIYlbYQ97l4J4P4RSXcW9IWfvZgNSY+GLg="/>
    </ext>
  </extLst>
</workbook>
</file>

<file path=xl/sharedStrings.xml><?xml version="1.0" encoding="utf-8"?>
<sst xmlns="http://schemas.openxmlformats.org/spreadsheetml/2006/main" count="228" uniqueCount="177">
  <si>
    <t>[Description] Simple Linear Regression - Learn to estimate regression coefficients by hand using least squares method</t>
  </si>
  <si>
    <t>Simple Linear Regression Worksheet</t>
  </si>
  <si>
    <t>Learning Objectives:</t>
  </si>
  <si>
    <t>1. Calculate sample mean, variance, and correlation coefficient</t>
  </si>
  <si>
    <t>2. Estimate regression coefficients α̂ (intercept) and β̂ (slope) using least squares</t>
  </si>
  <si>
    <t>3. Compute predicted values and residuals</t>
  </si>
  <si>
    <t>4. Calculate R² and understand model fit</t>
  </si>
  <si>
    <t>5. Perform t-test for regression coefficient significance</t>
  </si>
  <si>
    <t>Key Formulas:</t>
  </si>
  <si>
    <t>Linear Model:</t>
  </si>
  <si>
    <t>E(Y|X=x) = α + βx</t>
  </si>
  <si>
    <t>Slope:</t>
  </si>
  <si>
    <t>β̂ = Cor(x,y) × Sʏ/Sₓ = Σ(Xᵢ-X̄)(Yᵢ-Ȳ) / Σ(Xᵢ-X̄)²</t>
  </si>
  <si>
    <t>Intercept:</t>
  </si>
  <si>
    <t>α̂ = Ȳ - β̂X̄</t>
  </si>
  <si>
    <t>Residual:</t>
  </si>
  <si>
    <t>eᵢ = Yᵢ - Ŷᵢ = Yᵢ - α̂ - β̂Xᵢ</t>
  </si>
  <si>
    <t>R-squared:</t>
  </si>
  <si>
    <t>R² = 1 - SSE/SST = SSR/SST</t>
  </si>
  <si>
    <t>t-statistic:</t>
  </si>
  <si>
    <t>t = β̂ / SE(β̂)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</si>
  <si>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</si>
  <si>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</si>
  <si>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</si>
  <si>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</si>
  <si>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</si>
  <si>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</si>
  <si>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STEP 1: Calculate basic statistics - mean, deviations, variance, and correlation</t>
  </si>
  <si>
    <t>GIVEN DATA</t>
  </si>
  <si>
    <t>i</t>
  </si>
  <si>
    <t>Xᵢ</t>
  </si>
  <si>
    <t>Yᵢ</t>
  </si>
  <si>
    <t>STEP 1a: Calculate Sample Means</t>
  </si>
  <si>
    <t>X̄ = ΣXᵢ/n =</t>
  </si>
  <si>
    <t>(2+4+6+8+10) / 5 =</t>
  </si>
  <si>
    <t>Your Answer:</t>
  </si>
  <si>
    <t>Ȳ = ΣYᵢ/n =</t>
  </si>
  <si>
    <t>(3+5+6+8+11) / 5 =</t>
  </si>
  <si>
    <t>STEP 1b: Calculate Deviations from Mean</t>
  </si>
  <si>
    <t>Xᵢ-X̄</t>
  </si>
  <si>
    <t>Yᵢ-Ȳ</t>
  </si>
  <si>
    <t>(Xᵢ-X̄)²</t>
  </si>
  <si>
    <t>(Yᵢ-Ȳ)²</t>
  </si>
  <si>
    <t>(Xᵢ-X̄)(Yᵢ-Ȳ)</t>
  </si>
  <si>
    <t>SUM</t>
  </si>
  <si>
    <t>-</t>
  </si>
  <si>
    <t>[Description] STEP 2: Estimate regression coefficients β̂ (slope) and α̂ (intercept)</t>
  </si>
  <si>
    <t>RESULTS FROM STEP 1 (copy your answers here):</t>
  </si>
  <si>
    <t>X̄ =</t>
  </si>
  <si>
    <t>Ȳ =</t>
  </si>
  <si>
    <t>Σ(Xᵢ-X̄)² =</t>
  </si>
  <si>
    <t>Σ(Xᵢ-X̄)(Yᵢ-Ȳ) =</t>
  </si>
  <si>
    <t>STEP 2a: Calculate Slope β̂</t>
  </si>
  <si>
    <t>Formula:</t>
  </si>
  <si>
    <t>β̂ = Σ(Xᵢ-X̄)(Yᵢ-Ȳ) / Σ(Xᵢ-X̄)²</t>
  </si>
  <si>
    <t>Calculation:</t>
  </si>
  <si>
    <t>'= D6 / B6</t>
  </si>
  <si>
    <t>Your Answer β̂ =</t>
  </si>
  <si>
    <t>STEP 2b: Calculate Intercept α̂</t>
  </si>
  <si>
    <t>α̂ = Ȳ - β̂ × X̄</t>
  </si>
  <si>
    <t>'= D5 - B13 × B5</t>
  </si>
  <si>
    <t>Your Answer α̂ =</t>
  </si>
  <si>
    <t>FINAL REGRESSION EQUATION:</t>
  </si>
  <si>
    <t>Ŷ = α̂ + β̂X =</t>
  </si>
  <si>
    <t>_______ + _______ × X</t>
  </si>
  <si>
    <t>[Description] STEP 3: Calculate predicted values, residuals, and sum of squared errors</t>
  </si>
  <si>
    <t>ENTER YOUR COEFFICIENTS FROM STEP 2:</t>
  </si>
  <si>
    <t>α̂ =</t>
  </si>
  <si>
    <t>β̂ =</t>
  </si>
  <si>
    <t>STEP 3: Calculate Predicted Values and Residuals</t>
  </si>
  <si>
    <t>Ŷᵢ = α̂ + β̂Xᵢ</t>
  </si>
  <si>
    <t>eᵢ = Yᵢ - Ŷᵢ</t>
  </si>
  <si>
    <t>eᵢ²</t>
  </si>
  <si>
    <t>(should ≈ 0)</t>
  </si>
  <si>
    <t>Sum of Squared Errors (SSE) = Σeᵢ² =</t>
  </si>
  <si>
    <t>Mean Squared Error (MSE) = SSE/(n-2) =</t>
  </si>
  <si>
    <t>Residual Std Error = √MSE =</t>
  </si>
  <si>
    <t>[Description] STEP 4: Calculate R² coefficient of determination and interpret model fit</t>
  </si>
  <si>
    <t>STEP 4a: Calculate Total Sum of Squares (SST)</t>
  </si>
  <si>
    <t>SST = Σ(Yᵢ - Ȳ)²</t>
  </si>
  <si>
    <t>Ȳ</t>
  </si>
  <si>
    <t>Yᵢ - Ȳ</t>
  </si>
  <si>
    <t>(Yᵢ - Ȳ)²</t>
  </si>
  <si>
    <t>SUM (SST)</t>
  </si>
  <si>
    <t>STEP 4b: Calculate R²</t>
  </si>
  <si>
    <t>Your SSE (from Step 3):</t>
  </si>
  <si>
    <t>Your SST (from above):</t>
  </si>
  <si>
    <t>R² = 1 - SSE/SST</t>
  </si>
  <si>
    <t>Your Answer R² =</t>
  </si>
  <si>
    <t>INTERPRETATION:</t>
  </si>
  <si>
    <t>R² tells us what percentage of variation in Y is explained by X.</t>
  </si>
  <si>
    <t>Your model explains _____ % of the variation in Y.</t>
  </si>
  <si>
    <t>[Description] STEP 5: Perform t-test for regression coefficient significance</t>
  </si>
  <si>
    <t>ENTER YOUR VALUES FROM PREVIOUS STEPS:</t>
  </si>
  <si>
    <t>MSE =</t>
  </si>
  <si>
    <t>n =</t>
  </si>
  <si>
    <t>STEP 5a: Calculate Standard Error of β̂</t>
  </si>
  <si>
    <t>SE(β̂) = √(MSE / Σ(Xᵢ-X̄)²)</t>
  </si>
  <si>
    <t>√(D4 / F4)</t>
  </si>
  <si>
    <t>Your Answer SE(β̂) =</t>
  </si>
  <si>
    <t>STEP 5b: Calculate t-statistic</t>
  </si>
  <si>
    <t>B4 / B10</t>
  </si>
  <si>
    <t>Your Answer t =</t>
  </si>
  <si>
    <t>STEP 5c: Determine Critical Value</t>
  </si>
  <si>
    <t>Degrees of freedom:</t>
  </si>
  <si>
    <t>df = n - 2 =</t>
  </si>
  <si>
    <t>For 95% CI (α = 0.05):</t>
  </si>
  <si>
    <t>t₀.₀₂₅,₃ = 3.182 (from t-table)</t>
  </si>
  <si>
    <t>STEP 5d: Hypothesis Test for β = 0</t>
  </si>
  <si>
    <t>H₀: β = 0 (no linear relationship)</t>
  </si>
  <si>
    <t>H₁: β ≠ 0 (linear relationship exists)</t>
  </si>
  <si>
    <t>Decision Rule:</t>
  </si>
  <si>
    <t>If |t| &gt; t_critical, reject H₀</t>
  </si>
  <si>
    <t>Your |t| value =</t>
  </si>
  <si>
    <t>Compare with t_critical = 3.182</t>
  </si>
  <si>
    <t>Conclusion:</t>
  </si>
  <si>
    <t>(Reject H₀ / Fail to reject H₀)</t>
  </si>
  <si>
    <t>STEP 5e: Calculate 95% Confidence Interval for β</t>
  </si>
  <si>
    <t>CI = β̂ ± t_critical × SE(β̂)</t>
  </si>
  <si>
    <t>B4 ± 3.182 × B10</t>
  </si>
  <si>
    <t>Lower bound =</t>
  </si>
  <si>
    <t>Upper bound =</t>
  </si>
  <si>
    <t>95% CI for β: [</t>
  </si>
  <si>
    <t>]</t>
  </si>
  <si>
    <t>Since |t| = _____ &gt; t_critical = 3.182:</t>
  </si>
  <si>
    <t>• We reject H₀ at α = 0.05 significance level</t>
  </si>
  <si>
    <t>• There is statistically significant evidence of a linear relationship between X and Y</t>
  </si>
  <si>
    <t>• The slope β is significantly different from zero (p &lt; 0.05)</t>
  </si>
  <si>
    <t>[Description] ANSWER KEY - All solutions for verification</t>
  </si>
  <si>
    <t>ANSWER KEY</t>
  </si>
  <si>
    <t>STEP 1: Basic Statistics</t>
  </si>
  <si>
    <t>X̄ (mean of X)</t>
  </si>
  <si>
    <t>Ȳ (mean of Y)</t>
  </si>
  <si>
    <t>Σ(Xᵢ-X̄)²</t>
  </si>
  <si>
    <t>Σ(Yᵢ-Ȳ)²</t>
  </si>
  <si>
    <t>Σ(Xᵢ-X̄)(Yᵢ-Ȳ)</t>
  </si>
  <si>
    <t>Deviations Table:</t>
  </si>
  <si>
    <t>STEP 2: Regression Coefficients</t>
  </si>
  <si>
    <t>β̂ (slope) =</t>
  </si>
  <si>
    <t>α̂ (intercept) =</t>
  </si>
  <si>
    <t>Regression equation:</t>
  </si>
  <si>
    <t>Ŷ = 0.9000 + 0.9500X</t>
  </si>
  <si>
    <t>STEP 3: Residuals</t>
  </si>
  <si>
    <t>Ŷᵢ</t>
  </si>
  <si>
    <t>eᵢ</t>
  </si>
  <si>
    <t>SSE =</t>
  </si>
  <si>
    <t>STEP 4: R²</t>
  </si>
  <si>
    <t>SST =</t>
  </si>
  <si>
    <t>R² =</t>
  </si>
  <si>
    <t>Interpretation:</t>
  </si>
  <si>
    <t>97.0% of variation in Y is explained by X</t>
  </si>
  <si>
    <t>STEP 5: T-Test for Coefficient Significance</t>
  </si>
  <si>
    <t>Step 5a: Standard Error of β̂</t>
  </si>
  <si>
    <t>Given values:</t>
  </si>
  <si>
    <t>SE(β̂) = √(0.3667 / 40)</t>
  </si>
  <si>
    <t>SE(β̂) = √0.009167</t>
  </si>
  <si>
    <t>SE(β̂) =</t>
  </si>
  <si>
    <t>Step 5b: t-statistic</t>
  </si>
  <si>
    <t>t = 0.95 / 0.0957</t>
  </si>
  <si>
    <t>t =</t>
  </si>
  <si>
    <t>Step 5c: Critical Value</t>
  </si>
  <si>
    <t>df = n - 2 = 5 - 2 = 3</t>
  </si>
  <si>
    <t>t_critical (α=0.05, two-tailed):</t>
  </si>
  <si>
    <t>t₀.₀₂₅,₃ = 3.182</t>
  </si>
  <si>
    <t>Step 5d: Hypothesis Test</t>
  </si>
  <si>
    <t>H₀: β = 0</t>
  </si>
  <si>
    <t>H₁: β ≠ 0</t>
  </si>
  <si>
    <t>Decision:</t>
  </si>
  <si>
    <t>|t| = 9.93 &gt; t_critical = 3.182</t>
  </si>
  <si>
    <t>Reject H₀</t>
  </si>
  <si>
    <t>Step 5e: 95% Confidence Interval for β</t>
  </si>
  <si>
    <t>CI = 0.95 ± 3.182 × 0.0957</t>
  </si>
  <si>
    <t>CI = 0.95 ± 0.3045</t>
  </si>
  <si>
    <t>95% CI for β:</t>
  </si>
  <si>
    <t>[0.6455, 1.2545]</t>
  </si>
  <si>
    <t>The slope β is statistically significant (p &lt; 0.01)</t>
  </si>
  <si>
    <t>We are 95% confident that the true slope lies between 0.6455 and 1.2545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</si>
</sst>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rgb="FF505050"/>
      <name val="Calibri"/>
    </font>
    <font/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sz val="11.0"/>
      <color theme="1"/>
      <name val="Cambria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sz val="11.0"/>
      <color rgb="FF505050"/>
      <name val="Cambria"/>
    </font>
    <font>
      <b/>
      <sz val="12.0"/>
      <color theme="1"/>
      <name val="Cambria"/>
    </font>
    <font>
      <b/>
      <sz val="11.0"/>
      <color rgb="FFFFFFFF"/>
      <name val="Cambria"/>
    </font>
    <font>
      <sz val="11.0"/>
      <color rgb="FFFFFFFF"/>
      <name val="Calibri"/>
    </font>
    <font>
      <b/>
      <sz val="11.0"/>
      <color theme="1"/>
      <name val="Cambria"/>
    </font>
    <font>
      <b/>
      <sz val="14.0"/>
      <color rgb="FF4472C4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right"/>
    </xf>
    <xf borderId="4" fillId="3" fontId="8" numFmtId="0" xfId="0" applyBorder="1" applyFill="1" applyFont="1"/>
    <xf borderId="4" fillId="4" fontId="3" numFmtId="0" xfId="0" applyBorder="1" applyFill="1" applyFont="1"/>
    <xf borderId="0" fillId="0" fontId="9" numFmtId="0" xfId="0" applyFont="1"/>
    <xf borderId="4" fillId="5" fontId="3" numFmtId="0" xfId="0" applyBorder="1" applyFill="1" applyFont="1"/>
    <xf borderId="4" fillId="6" fontId="3" numFmtId="0" xfId="0" applyBorder="1" applyFill="1" applyFont="1"/>
    <xf borderId="4" fillId="7" fontId="3" numFmtId="0" xfId="0" applyBorder="1" applyFill="1" applyFont="1"/>
    <xf borderId="4" fillId="8" fontId="3" numFmtId="0" xfId="0" applyBorder="1" applyFill="1" applyFont="1"/>
    <xf borderId="1" fillId="2" fontId="10" numFmtId="0" xfId="0" applyBorder="1" applyFont="1"/>
    <xf borderId="4" fillId="3" fontId="11" numFmtId="0" xfId="0" applyBorder="1" applyFont="1"/>
    <xf borderId="5" fillId="9" fontId="12" numFmtId="0" xfId="0" applyAlignment="1" applyBorder="1" applyFill="1" applyFont="1">
      <alignment horizontal="center" vertical="center"/>
    </xf>
    <xf borderId="5" fillId="9" fontId="13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4" fillId="5" fontId="14" numFmtId="0" xfId="0" applyBorder="1" applyFont="1"/>
    <xf borderId="0" fillId="0" fontId="9" numFmtId="0" xfId="0" applyAlignment="1" applyFont="1">
      <alignment horizontal="right"/>
    </xf>
    <xf borderId="4" fillId="3" fontId="3" numFmtId="0" xfId="0" applyAlignment="1" applyBorder="1" applyFont="1">
      <alignment horizontal="right"/>
    </xf>
    <xf borderId="5" fillId="6" fontId="3" numFmtId="0" xfId="0" applyBorder="1" applyFont="1"/>
    <xf borderId="4" fillId="10" fontId="3" numFmtId="0" xfId="0" applyBorder="1" applyFill="1" applyFont="1"/>
    <xf borderId="5" fillId="5" fontId="3" numFmtId="0" xfId="0" applyAlignment="1" applyBorder="1" applyFont="1">
      <alignment horizontal="center" vertical="center"/>
    </xf>
    <xf borderId="5" fillId="6" fontId="14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4" fillId="3" fontId="14" numFmtId="0" xfId="0" applyBorder="1" applyFont="1"/>
    <xf borderId="5" fillId="4" fontId="3" numFmtId="0" xfId="0" applyBorder="1" applyFont="1"/>
    <xf borderId="4" fillId="10" fontId="14" numFmtId="0" xfId="0" applyBorder="1" applyFont="1"/>
    <xf borderId="4" fillId="3" fontId="3" numFmtId="0" xfId="0" applyBorder="1" applyFont="1"/>
    <xf borderId="4" fillId="10" fontId="11" numFmtId="0" xfId="0" applyBorder="1" applyFont="1"/>
    <xf borderId="0" fillId="2" fontId="14" numFmtId="0" xfId="0" applyFont="1"/>
    <xf borderId="0" fillId="3" fontId="14" numFmtId="0" xfId="0" applyFont="1"/>
    <xf borderId="0" fillId="10" fontId="14" numFmtId="0" xfId="0" applyFont="1"/>
    <xf borderId="0" fillId="3" fontId="9" numFmtId="0" xfId="0" applyFont="1"/>
    <xf borderId="0" fillId="3" fontId="9" numFmtId="0" xfId="0" applyAlignment="1" applyFont="1">
      <alignment horizontal="right"/>
    </xf>
    <xf borderId="6" fillId="10" fontId="3" numFmtId="0" xfId="0" applyBorder="1" applyFont="1"/>
    <xf borderId="7" fillId="6" fontId="3" numFmtId="0" xfId="0" applyBorder="1" applyFont="1"/>
    <xf borderId="0" fillId="0" fontId="3" numFmtId="0" xfId="0" applyAlignment="1" applyFont="1">
      <alignment horizontal="right"/>
    </xf>
    <xf borderId="8" fillId="6" fontId="3" numFmtId="0" xfId="0" applyBorder="1" applyFont="1"/>
    <xf borderId="0" fillId="0" fontId="15" numFmtId="0" xfId="0" applyFont="1"/>
    <xf borderId="5" fillId="7" fontId="3" numFmtId="0" xfId="0" applyBorder="1" applyFont="1"/>
    <xf borderId="0" fillId="0" fontId="14" numFmtId="0" xfId="0" applyFont="1"/>
    <xf borderId="5" fillId="7" fontId="3" numFmtId="0" xfId="0" applyAlignment="1" applyBorder="1" applyFont="1">
      <alignment horizontal="center" vertical="center"/>
    </xf>
    <xf borderId="7" fillId="7" fontId="3" numFmtId="0" xfId="0" applyBorder="1" applyFont="1"/>
    <xf borderId="9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3" width="15.0"/>
    <col customWidth="1" min="4" max="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6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9</v>
      </c>
      <c r="B16" s="9" t="s"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11</v>
      </c>
      <c r="B17" s="9" t="s">
        <v>12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13</v>
      </c>
      <c r="B18" s="9" t="s">
        <v>14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">
        <v>15</v>
      </c>
      <c r="B19" s="9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 t="s">
        <v>17</v>
      </c>
      <c r="B20" s="9" t="s"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 t="s">
        <v>19</v>
      </c>
      <c r="B21" s="9" t="s">
        <v>20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6" t="s">
        <v>21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0"/>
      <c r="B26" s="11" t="s">
        <v>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2"/>
      <c r="B27" s="11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3"/>
      <c r="B28" s="11" t="s">
        <v>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4"/>
      <c r="B29" s="11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5"/>
      <c r="B30" s="11" t="s">
        <v>26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3:F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9.0"/>
    <col customWidth="1" min="3" max="8" width="14.0"/>
    <col customWidth="1" min="9" max="11" width="8.71"/>
  </cols>
  <sheetData>
    <row r="1" ht="14.25" customHeight="1">
      <c r="A1" s="16" t="s">
        <v>27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7" t="s">
        <v>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29</v>
      </c>
      <c r="B5" s="18" t="s">
        <v>30</v>
      </c>
      <c r="C5" s="18" t="s">
        <v>31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9">
        <v>1.0</v>
      </c>
      <c r="B6" s="20">
        <v>2.0</v>
      </c>
      <c r="C6" s="20">
        <v>3.0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9">
        <v>2.0</v>
      </c>
      <c r="B7" s="20">
        <v>4.0</v>
      </c>
      <c r="C7" s="20">
        <v>5.0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9">
        <v>3.0</v>
      </c>
      <c r="B8" s="20">
        <v>6.0</v>
      </c>
      <c r="C8" s="20">
        <v>6.0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9">
        <v>4.0</v>
      </c>
      <c r="B9" s="20">
        <v>8.0</v>
      </c>
      <c r="C9" s="20">
        <v>8.0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9">
        <v>5.0</v>
      </c>
      <c r="B10" s="20">
        <v>10.0</v>
      </c>
      <c r="C10" s="20">
        <v>11.0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32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2" t="s">
        <v>33</v>
      </c>
      <c r="B15" s="23" t="s">
        <v>34</v>
      </c>
      <c r="C15" s="22" t="s">
        <v>35</v>
      </c>
      <c r="D15" s="24"/>
      <c r="E15" s="25" t="str">
        <f>IF(D15=6,"✓","✗")</f>
        <v>✗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2" t="s">
        <v>36</v>
      </c>
      <c r="B16" s="23" t="s">
        <v>37</v>
      </c>
      <c r="C16" s="22" t="s">
        <v>35</v>
      </c>
      <c r="D16" s="24"/>
      <c r="E16" s="11" t="str">
        <f>IF(D16=6.6,"✓","✗")</f>
        <v>✗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1" t="s">
        <v>38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8" t="s">
        <v>29</v>
      </c>
      <c r="B21" s="18" t="s">
        <v>30</v>
      </c>
      <c r="C21" s="18" t="s">
        <v>31</v>
      </c>
      <c r="D21" s="18" t="s">
        <v>39</v>
      </c>
      <c r="E21" s="18" t="s">
        <v>40</v>
      </c>
      <c r="F21" s="18" t="s">
        <v>41</v>
      </c>
      <c r="G21" s="18" t="s">
        <v>42</v>
      </c>
      <c r="H21" s="18" t="s">
        <v>43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9">
        <v>1.0</v>
      </c>
      <c r="B22" s="20">
        <v>2.0</v>
      </c>
      <c r="C22" s="20">
        <v>3.0</v>
      </c>
      <c r="D22" s="26"/>
      <c r="E22" s="26"/>
      <c r="F22" s="26"/>
      <c r="G22" s="26"/>
      <c r="H22" s="2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9">
        <v>2.0</v>
      </c>
      <c r="B23" s="20">
        <v>4.0</v>
      </c>
      <c r="C23" s="20">
        <v>5.0</v>
      </c>
      <c r="D23" s="26"/>
      <c r="E23" s="26"/>
      <c r="F23" s="26"/>
      <c r="G23" s="26"/>
      <c r="H23" s="2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9">
        <v>3.0</v>
      </c>
      <c r="B24" s="20">
        <v>6.0</v>
      </c>
      <c r="C24" s="20">
        <v>6.0</v>
      </c>
      <c r="D24" s="26"/>
      <c r="E24" s="26"/>
      <c r="F24" s="26"/>
      <c r="G24" s="26"/>
      <c r="H24" s="2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9">
        <v>4.0</v>
      </c>
      <c r="B25" s="20">
        <v>8.0</v>
      </c>
      <c r="C25" s="20">
        <v>8.0</v>
      </c>
      <c r="D25" s="26"/>
      <c r="E25" s="26"/>
      <c r="F25" s="26"/>
      <c r="G25" s="26"/>
      <c r="H25" s="2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9">
        <v>5.0</v>
      </c>
      <c r="B26" s="20">
        <v>10.0</v>
      </c>
      <c r="C26" s="20">
        <v>11.0</v>
      </c>
      <c r="D26" s="26"/>
      <c r="E26" s="26"/>
      <c r="F26" s="26"/>
      <c r="G26" s="26"/>
      <c r="H26" s="2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7" t="s">
        <v>44</v>
      </c>
      <c r="B27" s="28" t="s">
        <v>45</v>
      </c>
      <c r="C27" s="28" t="s">
        <v>45</v>
      </c>
      <c r="D27" s="28" t="s">
        <v>45</v>
      </c>
      <c r="E27" s="28" t="s">
        <v>45</v>
      </c>
      <c r="F27" s="29"/>
      <c r="G27" s="29"/>
      <c r="H27" s="2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6" width="8.71"/>
  </cols>
  <sheetData>
    <row r="1" ht="14.25" customHeight="1">
      <c r="A1" s="16" t="s">
        <v>46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0" t="s">
        <v>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2" t="s">
        <v>48</v>
      </c>
      <c r="B5" s="31"/>
      <c r="C5" s="22" t="s">
        <v>49</v>
      </c>
      <c r="D5" s="3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2" t="s">
        <v>50</v>
      </c>
      <c r="B6" s="31"/>
      <c r="C6" s="22" t="s">
        <v>51</v>
      </c>
      <c r="D6" s="3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2" t="s">
        <v>52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2" t="s">
        <v>53</v>
      </c>
      <c r="B11" s="33" t="s">
        <v>54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2" t="s">
        <v>55</v>
      </c>
      <c r="B12" s="33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2" t="s">
        <v>57</v>
      </c>
      <c r="B13" s="24"/>
      <c r="C13" s="11" t="str">
        <f>IF(ABS(B13-0.95)&lt;0.01,"✓","✗")</f>
        <v>✗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2" t="s">
        <v>58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2" t="s">
        <v>53</v>
      </c>
      <c r="B18" s="33" t="s">
        <v>59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2" t="s">
        <v>55</v>
      </c>
      <c r="B19" s="33" t="s">
        <v>60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2" t="s">
        <v>61</v>
      </c>
      <c r="B20" s="24"/>
      <c r="C20" s="11" t="str">
        <f>IF(ABS(B20-0.9)&lt;0.01,"✓","✗")</f>
        <v>✗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34" t="s">
        <v>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2" t="s">
        <v>63</v>
      </c>
      <c r="B25" s="13" t="s">
        <v>64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6" width="18.0"/>
    <col customWidth="1" min="7" max="7" width="8.71"/>
  </cols>
  <sheetData>
    <row r="1" ht="14.25" customHeight="1">
      <c r="A1" s="16" t="s">
        <v>65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0" t="s">
        <v>66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2" t="s">
        <v>67</v>
      </c>
      <c r="B5" s="31"/>
      <c r="C5" s="22" t="s">
        <v>68</v>
      </c>
      <c r="D5" s="3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2" t="s">
        <v>69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8" t="s">
        <v>29</v>
      </c>
      <c r="B10" s="18" t="s">
        <v>30</v>
      </c>
      <c r="C10" s="18" t="s">
        <v>31</v>
      </c>
      <c r="D10" s="18" t="s">
        <v>70</v>
      </c>
      <c r="E10" s="18" t="s">
        <v>71</v>
      </c>
      <c r="F10" s="18" t="s">
        <v>72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9">
        <v>1.0</v>
      </c>
      <c r="B11" s="20">
        <v>2.0</v>
      </c>
      <c r="C11" s="20">
        <v>3.0</v>
      </c>
      <c r="D11" s="26"/>
      <c r="E11" s="26"/>
      <c r="F11" s="2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9">
        <v>2.0</v>
      </c>
      <c r="B12" s="20">
        <v>4.0</v>
      </c>
      <c r="C12" s="20">
        <v>5.0</v>
      </c>
      <c r="D12" s="26"/>
      <c r="E12" s="26"/>
      <c r="F12" s="2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9">
        <v>3.0</v>
      </c>
      <c r="B13" s="20">
        <v>6.0</v>
      </c>
      <c r="C13" s="20">
        <v>6.0</v>
      </c>
      <c r="D13" s="26"/>
      <c r="E13" s="26"/>
      <c r="F13" s="2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9">
        <v>4.0</v>
      </c>
      <c r="B14" s="20">
        <v>8.0</v>
      </c>
      <c r="C14" s="20">
        <v>8.0</v>
      </c>
      <c r="D14" s="26"/>
      <c r="E14" s="26"/>
      <c r="F14" s="2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9">
        <v>5.0</v>
      </c>
      <c r="B15" s="20">
        <v>10.0</v>
      </c>
      <c r="C15" s="20">
        <v>11.0</v>
      </c>
      <c r="D15" s="26"/>
      <c r="E15" s="26"/>
      <c r="F15" s="2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7" t="s">
        <v>44</v>
      </c>
      <c r="B16" s="28" t="s">
        <v>45</v>
      </c>
      <c r="C16" s="28" t="s">
        <v>45</v>
      </c>
      <c r="D16" s="28" t="s">
        <v>45</v>
      </c>
      <c r="E16" s="28" t="s">
        <v>73</v>
      </c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2" t="s">
        <v>74</v>
      </c>
      <c r="B19" s="24"/>
      <c r="C19" s="11" t="str">
        <f>IF(ABS(B19-1.1)&lt;0.1,"✓","✗")</f>
        <v>✗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2" t="s">
        <v>75</v>
      </c>
      <c r="B20" s="24"/>
      <c r="C20" s="11" t="str">
        <f>IF(ABS(B20-0.3667)&lt;0.1,"✓","✗")</f>
        <v>✗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2" t="s">
        <v>76</v>
      </c>
      <c r="B21" s="2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5" width="18.0"/>
    <col customWidth="1" min="6" max="6" width="8.71"/>
  </cols>
  <sheetData>
    <row r="1" ht="14.25" customHeight="1">
      <c r="A1" s="16" t="s">
        <v>77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2" t="s">
        <v>78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1" t="s">
        <v>53</v>
      </c>
      <c r="B5" s="33" t="s">
        <v>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 t="s">
        <v>29</v>
      </c>
      <c r="B7" s="18" t="s">
        <v>31</v>
      </c>
      <c r="C7" s="18" t="s">
        <v>80</v>
      </c>
      <c r="D7" s="18" t="s">
        <v>81</v>
      </c>
      <c r="E7" s="18" t="s">
        <v>82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9">
        <v>1.0</v>
      </c>
      <c r="B8" s="20">
        <v>3.0</v>
      </c>
      <c r="C8" s="20">
        <v>6.6</v>
      </c>
      <c r="D8" s="26"/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9">
        <v>2.0</v>
      </c>
      <c r="B9" s="20">
        <v>5.0</v>
      </c>
      <c r="C9" s="20">
        <v>6.6</v>
      </c>
      <c r="D9" s="26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9">
        <v>3.0</v>
      </c>
      <c r="B10" s="20">
        <v>6.0</v>
      </c>
      <c r="C10" s="20">
        <v>6.6</v>
      </c>
      <c r="D10" s="26"/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9">
        <v>4.0</v>
      </c>
      <c r="B11" s="20">
        <v>8.0</v>
      </c>
      <c r="C11" s="20">
        <v>6.6</v>
      </c>
      <c r="D11" s="26"/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9">
        <v>5.0</v>
      </c>
      <c r="B12" s="20">
        <v>11.0</v>
      </c>
      <c r="C12" s="20">
        <v>6.6</v>
      </c>
      <c r="D12" s="26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7" t="s">
        <v>83</v>
      </c>
      <c r="B13" s="4"/>
      <c r="C13" s="4"/>
      <c r="D13" s="4"/>
      <c r="E13" s="2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2" t="s">
        <v>84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1" t="s">
        <v>85</v>
      </c>
      <c r="B18" s="3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1" t="s">
        <v>86</v>
      </c>
      <c r="B19" s="3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2" t="s">
        <v>53</v>
      </c>
      <c r="B21" s="33" t="s">
        <v>87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2" t="s">
        <v>55</v>
      </c>
      <c r="B22" s="33" t="str">
        <f>1 - (B18 / B19)</f>
        <v>#DIV/0!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2" t="s">
        <v>88</v>
      </c>
      <c r="B23" s="24"/>
      <c r="C23" s="11" t="str">
        <f>IF(ABS(B23-0.9704)&lt;0.01,"✓","✗")</f>
        <v>✗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0" t="s">
        <v>89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1" t="s">
        <v>90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3" t="s">
        <v>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30.0"/>
    <col customWidth="1" min="3" max="3" width="20.0"/>
    <col customWidth="1" min="4" max="6" width="15.0"/>
    <col customWidth="1" min="7" max="8" width="8.71"/>
  </cols>
  <sheetData>
    <row r="1" ht="14.25" customHeight="1">
      <c r="A1" s="35" t="s">
        <v>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6" t="s">
        <v>93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2" t="s">
        <v>68</v>
      </c>
      <c r="B4" s="31"/>
      <c r="C4" s="22" t="s">
        <v>94</v>
      </c>
      <c r="D4" s="31"/>
      <c r="E4" s="22" t="s">
        <v>50</v>
      </c>
      <c r="F4" s="31"/>
      <c r="G4" s="22" t="s">
        <v>95</v>
      </c>
      <c r="H4" s="11">
        <v>5.0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7" t="s">
        <v>96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2" t="s">
        <v>53</v>
      </c>
      <c r="B7" s="38" t="s">
        <v>97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2" t="s">
        <v>55</v>
      </c>
      <c r="B8" s="38" t="s">
        <v>98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2" t="s">
        <v>99</v>
      </c>
      <c r="B10" s="24"/>
      <c r="C10" s="11" t="str">
        <f>IF(ABS(B10-0.0957)&lt;0.01,"O","X")</f>
        <v>X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7" t="s">
        <v>100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2" t="s">
        <v>53</v>
      </c>
      <c r="B13" s="38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2" t="s">
        <v>55</v>
      </c>
      <c r="B14" s="38" t="s">
        <v>101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2" t="s">
        <v>102</v>
      </c>
      <c r="B16" s="24"/>
      <c r="C16" s="11" t="str">
        <f>IF(ABS(B16-9.93)&lt;0.5,"O","X")</f>
        <v>X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7" t="s">
        <v>103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1" t="s">
        <v>104</v>
      </c>
      <c r="B19" s="39" t="s">
        <v>105</v>
      </c>
      <c r="C19" s="2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1" t="s">
        <v>106</v>
      </c>
      <c r="B20" s="38" t="s">
        <v>107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7" t="s">
        <v>108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1" t="s">
        <v>109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1" t="s">
        <v>110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2" t="s">
        <v>111</v>
      </c>
      <c r="B26" s="38" t="s">
        <v>112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2" t="s">
        <v>113</v>
      </c>
      <c r="B27" s="24"/>
      <c r="C27" s="11" t="s">
        <v>114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2" t="s">
        <v>115</v>
      </c>
      <c r="B28" s="40" t="s">
        <v>116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7" t="s">
        <v>117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2" t="s">
        <v>53</v>
      </c>
      <c r="B31" s="38" t="s">
        <v>118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2" t="s">
        <v>55</v>
      </c>
      <c r="B32" s="38" t="s">
        <v>119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2" t="s">
        <v>120</v>
      </c>
      <c r="B34" s="41"/>
      <c r="C34" s="11" t="str">
        <f>IF(ABS(B34-0.6455)&lt;0.05,"O","X")</f>
        <v>X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2" t="s">
        <v>121</v>
      </c>
      <c r="B35" s="24"/>
      <c r="C35" s="11" t="str">
        <f>IF(ABS(B35-1.2545)&lt;0.05,"O","X")</f>
        <v>X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2" t="s">
        <v>122</v>
      </c>
      <c r="B37" s="43"/>
      <c r="C37" s="24"/>
      <c r="D37" s="11" t="s">
        <v>123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6" t="s">
        <v>89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1" t="s">
        <v>124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1" t="s">
        <v>125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1" t="s">
        <v>126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1" t="s">
        <v>127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</cols>
  <sheetData>
    <row r="1" ht="14.25" customHeight="1">
      <c r="A1" s="16" t="s">
        <v>128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44" t="s">
        <v>129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0" t="s">
        <v>130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1" t="s">
        <v>131</v>
      </c>
      <c r="B7" s="45">
        <v>6.0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1" t="s">
        <v>132</v>
      </c>
      <c r="B8" s="45">
        <v>6.6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1" t="s">
        <v>133</v>
      </c>
      <c r="B9" s="45">
        <v>40.0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1" t="s">
        <v>134</v>
      </c>
      <c r="B10" s="45">
        <v>37.2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1" t="s">
        <v>135</v>
      </c>
      <c r="B11" s="45">
        <v>38.0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6" t="s">
        <v>136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 t="s">
        <v>29</v>
      </c>
      <c r="B15" s="18" t="s">
        <v>39</v>
      </c>
      <c r="C15" s="18" t="s">
        <v>40</v>
      </c>
      <c r="D15" s="18" t="s">
        <v>41</v>
      </c>
      <c r="E15" s="18" t="s">
        <v>42</v>
      </c>
      <c r="F15" s="18" t="s">
        <v>43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9">
        <v>1.0</v>
      </c>
      <c r="B16" s="47">
        <v>-4.0</v>
      </c>
      <c r="C16" s="47">
        <v>-3.6</v>
      </c>
      <c r="D16" s="47">
        <v>16.0</v>
      </c>
      <c r="E16" s="47">
        <v>12.96</v>
      </c>
      <c r="F16" s="47">
        <v>14.4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9">
        <v>2.0</v>
      </c>
      <c r="B17" s="47">
        <v>-2.0</v>
      </c>
      <c r="C17" s="47">
        <v>-1.6</v>
      </c>
      <c r="D17" s="47">
        <v>4.0</v>
      </c>
      <c r="E17" s="47">
        <v>2.56</v>
      </c>
      <c r="F17" s="47">
        <v>3.2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9">
        <v>3.0</v>
      </c>
      <c r="B18" s="47">
        <v>0.0</v>
      </c>
      <c r="C18" s="47">
        <v>-0.6</v>
      </c>
      <c r="D18" s="47">
        <v>0.0</v>
      </c>
      <c r="E18" s="47">
        <v>0.36</v>
      </c>
      <c r="F18" s="47">
        <v>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9">
        <v>4.0</v>
      </c>
      <c r="B19" s="47">
        <v>2.0</v>
      </c>
      <c r="C19" s="47">
        <v>1.4</v>
      </c>
      <c r="D19" s="47">
        <v>4.0</v>
      </c>
      <c r="E19" s="47">
        <v>1.96</v>
      </c>
      <c r="F19" s="47">
        <v>2.8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9">
        <v>5.0</v>
      </c>
      <c r="B20" s="47">
        <v>4.0</v>
      </c>
      <c r="C20" s="47">
        <v>4.4</v>
      </c>
      <c r="D20" s="47">
        <v>16.0</v>
      </c>
      <c r="E20" s="47">
        <v>19.36</v>
      </c>
      <c r="F20" s="47">
        <v>17.6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0" t="s">
        <v>137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1" t="s">
        <v>138</v>
      </c>
      <c r="B25" s="45">
        <v>0.95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1" t="s">
        <v>139</v>
      </c>
      <c r="B26" s="45">
        <v>0.9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1" t="s">
        <v>140</v>
      </c>
      <c r="B27" s="45" t="s">
        <v>141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0" t="s">
        <v>142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8" t="s">
        <v>29</v>
      </c>
      <c r="B32" s="18" t="s">
        <v>143</v>
      </c>
      <c r="C32" s="18" t="s">
        <v>144</v>
      </c>
      <c r="D32" s="18" t="s">
        <v>72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9">
        <v>1.0</v>
      </c>
      <c r="B33" s="47">
        <v>2.8</v>
      </c>
      <c r="C33" s="47">
        <v>0.2</v>
      </c>
      <c r="D33" s="47">
        <v>0.04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9">
        <v>2.0</v>
      </c>
      <c r="B34" s="47">
        <v>4.7</v>
      </c>
      <c r="C34" s="47">
        <v>0.3</v>
      </c>
      <c r="D34" s="47">
        <v>0.09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9">
        <v>3.0</v>
      </c>
      <c r="B35" s="47">
        <v>6.6</v>
      </c>
      <c r="C35" s="47">
        <v>-0.6</v>
      </c>
      <c r="D35" s="47">
        <v>0.36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9">
        <v>4.0</v>
      </c>
      <c r="B36" s="47">
        <v>8.5</v>
      </c>
      <c r="C36" s="47">
        <v>-0.5</v>
      </c>
      <c r="D36" s="47">
        <v>0.25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9">
        <v>5.0</v>
      </c>
      <c r="B37" s="47">
        <v>10.4</v>
      </c>
      <c r="C37" s="47">
        <v>0.6</v>
      </c>
      <c r="D37" s="47">
        <v>0.36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1" t="s">
        <v>145</v>
      </c>
      <c r="B39" s="45">
        <v>1.1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1" t="s">
        <v>94</v>
      </c>
      <c r="B40" s="45">
        <v>0.3667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0" t="s">
        <v>146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1" t="s">
        <v>147</v>
      </c>
      <c r="B45" s="45">
        <v>37.2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1" t="s">
        <v>148</v>
      </c>
      <c r="B46" s="45">
        <v>0.9704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1" t="s">
        <v>149</v>
      </c>
      <c r="B47" s="11" t="s">
        <v>150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0" t="s">
        <v>151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6" t="s">
        <v>152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1" t="s">
        <v>153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1" t="s">
        <v>68</v>
      </c>
      <c r="B52" s="45">
        <v>0.95</v>
      </c>
      <c r="C52" s="11" t="s">
        <v>94</v>
      </c>
      <c r="D52" s="45">
        <v>0.3667</v>
      </c>
      <c r="E52" s="11" t="s">
        <v>50</v>
      </c>
      <c r="F52" s="45">
        <v>40.0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1" t="s">
        <v>97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1" t="s">
        <v>154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1" t="s">
        <v>155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1" t="s">
        <v>156</v>
      </c>
      <c r="B56" s="45">
        <v>0.0957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6" t="s">
        <v>157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1" t="s">
        <v>20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1" t="s">
        <v>158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1" t="s">
        <v>159</v>
      </c>
      <c r="B61" s="45">
        <v>9.93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6" t="s">
        <v>160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1" t="s">
        <v>104</v>
      </c>
      <c r="B64" s="11" t="s">
        <v>161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1" t="s">
        <v>162</v>
      </c>
      <c r="B65" s="11" t="s">
        <v>163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6" t="s">
        <v>164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1" t="s">
        <v>165</v>
      </c>
      <c r="B68" s="11" t="s">
        <v>166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1" t="s">
        <v>167</v>
      </c>
      <c r="B69" s="11" t="s">
        <v>168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1" t="s">
        <v>115</v>
      </c>
      <c r="B70" s="45" t="s">
        <v>169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6" t="s">
        <v>170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1" t="s">
        <v>118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1" t="s">
        <v>171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1" t="s">
        <v>172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1" t="s">
        <v>120</v>
      </c>
      <c r="B76" s="48">
        <v>0.6455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1" t="s">
        <v>121</v>
      </c>
      <c r="B77" s="45">
        <v>1.2545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1" t="s">
        <v>173</v>
      </c>
      <c r="B78" s="49" t="s">
        <v>174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6" t="s">
        <v>149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1" t="s">
        <v>175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1" t="s">
        <v>176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2026-02-16T01:32:54Z</dcterms:created>
  <dc:creator>openpyxl</dc:creator>
</cp:coreProperties>
</file>