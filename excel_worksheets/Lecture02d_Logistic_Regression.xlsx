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ep1_Odds_Logit" sheetId="2" state="visible" r:id="rId4"/>
    <sheet name="Step2_Prediction" sheetId="3" state="visible" r:id="rId5"/>
    <sheet name="Step3_OddsRatio" sheetId="4" state="visible" r:id="rId6"/>
    <sheet name="Step4_MLE" sheetId="5" state="visible" r:id="rId7"/>
    <sheet name="Step5_Confusion_Matrix" sheetId="6" state="visible" r:id="rId8"/>
    <sheet name="Step6_ROC_AUC" sheetId="7" state="visible" r:id="rId9"/>
    <sheet name="Step7_ROC_Plot" sheetId="8" state="visible" r:id="rId10"/>
    <sheet name="Answer_Ke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<sst xmlns="http://schemas.openxmlformats.org/spreadsheetml/2006/main" count="357" uniqueCount="277">
  <si>
    <t xml:space="preserve">[Description] Logistic Regression - Binary Classification, MLE, Confusion Matrix, ROC &amp; AUC</t>
  </si>
  <si>
    <t xml:space="preserve">Logistic Regression Worksheet</t>
  </si>
  <si>
    <t xml:space="preserve">Learning Objectives:</t>
  </si>
  <si>
    <t xml:space="preserve">1. Understand logistic regression for binary classification</t>
  </si>
  <si>
    <t xml:space="preserve">2. Calculate odds and log-odds (logit)</t>
  </si>
  <si>
    <t xml:space="preserve">3. Apply the sigmoid function to convert log-odds to probability</t>
  </si>
  <si>
    <t xml:space="preserve">4. Compute predicted probabilities given β₀ and β₁</t>
  </si>
  <si>
    <t xml:space="preserve">5. Understand the concept of maximum likelihood estimation</t>
  </si>
  <si>
    <t xml:space="preserve">6. Build and interpret a confusion matrix for classification</t>
  </si>
  <si>
    <t xml:space="preserve">7. Calculate classification metrics: Accuracy, Sensitivity, Specificity, Precision</t>
  </si>
  <si>
    <t xml:space="preserve">8. Understand the ROC curve and calculate AUC using the trapezoidal rule</t>
  </si>
  <si>
    <t xml:space="preserve">Key Formulas:</t>
  </si>
  <si>
    <t xml:space="preserve">Linear predictor:</t>
  </si>
  <si>
    <t xml:space="preserve">z = β₀ + β₁X</t>
  </si>
  <si>
    <t xml:space="preserve">Sigmoid function:</t>
  </si>
  <si>
    <t xml:space="preserve">p = σ(z) = 1/(1+e⁻ᶻ)</t>
  </si>
  <si>
    <t xml:space="preserve">Logistic model:</t>
  </si>
  <si>
    <t xml:space="preserve">P(Y=1|X) = 1/(1+e⁻⁽β₀⁺β₁ˣ⁾)</t>
  </si>
  <si>
    <t xml:space="preserve">Odds:</t>
  </si>
  <si>
    <t xml:space="preserve">odds = p/(1-p) = e⁽β₀⁺β₁ˣ⁾</t>
  </si>
  <si>
    <t xml:space="preserve">Log-odds (logit):</t>
  </si>
  <si>
    <t xml:space="preserve">logit(p) = ln(p/(1-p)) = β₀ + β₁X</t>
  </si>
  <si>
    <t xml:space="preserve">Interpretation:</t>
  </si>
  <si>
    <t xml:space="preserve">e^β₁ = odds ratio for 1-unit increase in X</t>
  </si>
  <si>
    <t xml:space="preserve">Classification:</t>
  </si>
  <si>
    <t xml:space="preserve">Ŷ = 1 if p̂ ≥ threshold, else Ŷ = 0</t>
  </si>
  <si>
    <t xml:space="preserve">TPR (Sensitivity):</t>
  </si>
  <si>
    <t xml:space="preserve">TP / (TP + FN)</t>
  </si>
  <si>
    <t xml:space="preserve">FPR:</t>
  </si>
  <si>
    <t xml:space="preserve">FP / (FP + TN)</t>
  </si>
  <si>
    <t xml:space="preserve">AUC (Trapezoid):</t>
  </si>
  <si>
    <t xml:space="preserve">Σ (FPR_{i+1} - FPR_i) × (TPR_{i+1} + TPR_i) / 2</t>
  </si>
  <si>
    <t xml:space="preserve">Color Guide:</t>
  </si>
  <si>
    <t xml:space="preserve">Given Data (Input)</t>
  </si>
  <si>
    <t xml:space="preserve">Intermediate Calculations</t>
  </si>
  <si>
    <t xml:space="preserve">Final Results</t>
  </si>
  <si>
    <t xml:space="preserve">Correct Answer (✓)</t>
  </si>
  <si>
    <t xml:space="preserve">Incorrect Answer (✗)</t>
  </si>
  <si>
    <t xml:space="preserve">[Description] STEP 1: Understand the relationship between probability, odds, and log-odds (logit)</t>
  </si>
  <si>
    <t xml:space="preserve">PROBABILITY → ODDS → LOG-ODDS CONVERSION</t>
  </si>
  <si>
    <t xml:space="preserve">p (probability)</t>
  </si>
  <si>
    <t xml:space="preserve">odds = p/(1-p)</t>
  </si>
  <si>
    <t xml:space="preserve">logit = ln(odds)</t>
  </si>
  <si>
    <t xml:space="preserve">Check</t>
  </si>
  <si>
    <t xml:space="preserve">LOGIT → PROBABILITY (Sigmoid Function)</t>
  </si>
  <si>
    <t xml:space="preserve">Formula: p = σ(z) = 1/(1+e⁻ᶻ)</t>
  </si>
  <si>
    <t xml:space="preserve">z (logit)</t>
  </si>
  <si>
    <t xml:space="preserve">e⁻ᶻ</t>
  </si>
  <si>
    <t xml:space="preserve">1+e⁻ᶻ</t>
  </si>
  <si>
    <t xml:space="preserve">p = 1/(1+e⁻ᶻ)</t>
  </si>
  <si>
    <t xml:space="preserve">[Description] STEP 2: Calculate predicted probabilities using logistic regression model</t>
  </si>
  <si>
    <t xml:space="preserve">GIVEN COEFFICIENTS (from fitted model):</t>
  </si>
  <si>
    <t xml:space="preserve">β₀ (intercept) =</t>
  </si>
  <si>
    <t xml:space="preserve">β₁ (slope) =</t>
  </si>
  <si>
    <t xml:space="preserve">LOGISTIC REGRESSION MODEL: P(Y=1|X) = 1/(1+e⁻⁽β₀⁺β₁ˣ⁾)</t>
  </si>
  <si>
    <t xml:space="preserve">i</t>
  </si>
  <si>
    <t xml:space="preserve">Xᵢ</t>
  </si>
  <si>
    <t xml:space="preserve">Yᵢ (actual)</t>
  </si>
  <si>
    <t xml:space="preserve">zᵢ = β₀+β₁Xᵢ</t>
  </si>
  <si>
    <t xml:space="preserve">p̂ᵢ = σ(zᵢ)</t>
  </si>
  <si>
    <t xml:space="preserve">Ŷᵢ (p&gt;0.5?)</t>
  </si>
  <si>
    <t xml:space="preserve">Correct?</t>
  </si>
  <si>
    <t xml:space="preserve">z Check</t>
  </si>
  <si>
    <t xml:space="preserve">p̂ Check</t>
  </si>
  <si>
    <t xml:space="preserve">MODEL ACCURACY:</t>
  </si>
  <si>
    <t xml:space="preserve">Number of correct predictions =</t>
  </si>
  <si>
    <t xml:space="preserve">Total samples =</t>
  </si>
  <si>
    <t xml:space="preserve">Accuracy = correct/total =</t>
  </si>
  <si>
    <t xml:space="preserve">[Description] STEP 3: Interpret the regression coefficient as odds ratio</t>
  </si>
  <si>
    <t xml:space="preserve">ODDS RATIO INTERPRETATION</t>
  </si>
  <si>
    <t xml:space="preserve">Key insight: e^β₁ is the odds ratio for 1-unit increase in X</t>
  </si>
  <si>
    <t xml:space="preserve">Given: β₁ =</t>
  </si>
  <si>
    <t xml:space="preserve">Calculate: Odds Ratio = e^β₁ =</t>
  </si>
  <si>
    <t xml:space="preserve">INTERPRETATION:</t>
  </si>
  <si>
    <t xml:space="preserve">Odds Ratio = 2.72 means:</t>
  </si>
  <si>
    <t xml:space="preserve">For every 1-unit increase in X,</t>
  </si>
  <si>
    <t xml:space="preserve">the odds of Y=1 are multiplied by 2.72</t>
  </si>
  <si>
    <t xml:space="preserve">If OR &gt; 1: Positive association (higher X → higher odds of Y=1)</t>
  </si>
  <si>
    <t xml:space="preserve">If OR &lt; 1: Negative association (higher X → lower odds of Y=1)</t>
  </si>
  <si>
    <t xml:space="preserve">If OR = 1: No association</t>
  </si>
  <si>
    <t xml:space="preserve">[Description] STEP 4: Maximum Likelihood Estimation (MLE) for Logistic Regression</t>
  </si>
  <si>
    <t xml:space="preserve">MAXIMUM LIKELIHOOD ESTIMATION</t>
  </si>
  <si>
    <t xml:space="preserve">Concept: Find coefficients (β₀, β₁) that maximize the probability of observing the data</t>
  </si>
  <si>
    <t xml:space="preserve">KEY FORMULAS:</t>
  </si>
  <si>
    <t xml:space="preserve">For each observation i with predicted probability pᵢ:</t>
  </si>
  <si>
    <t xml:space="preserve">• If Yᵢ = 1: Contribution = pᵢ</t>
  </si>
  <si>
    <t xml:space="preserve">• If Yᵢ = 0: Contribution = (1 - pᵢ)</t>
  </si>
  <si>
    <t xml:space="preserve">Likelihood Function:</t>
  </si>
  <si>
    <t xml:space="preserve">L(β) = ∏ pᵢ^Yᵢ × (1-pᵢ)^(1-Yᵢ)</t>
  </si>
  <si>
    <t xml:space="preserve">Log-Likelihood:</t>
  </si>
  <si>
    <t xml:space="preserve">ℓ(β) = Σ [Yᵢ × log(pᵢ) + (1-Yᵢ) × log(1-pᵢ)]</t>
  </si>
  <si>
    <t xml:space="preserve">EXERCISE: Calculate Log-Likelihood</t>
  </si>
  <si>
    <t xml:space="preserve">Using the model from Step 2 (β₀=-3, β₁=1), calculate the log-likelihood:</t>
  </si>
  <si>
    <t xml:space="preserve">Yᵢ</t>
  </si>
  <si>
    <t xml:space="preserve">p̂ᵢ (given)</t>
  </si>
  <si>
    <t xml:space="preserve">log(p̂ᵢ)</t>
  </si>
  <si>
    <t xml:space="preserve">log(1-p̂ᵢ)</t>
  </si>
  <si>
    <t xml:space="preserve">Contribution</t>
  </si>
  <si>
    <t xml:space="preserve">SUM</t>
  </si>
  <si>
    <t xml:space="preserve">Log-Likelihood =</t>
  </si>
  <si>
    <t xml:space="preserve">• Higher log-likelihood = better model fit</t>
  </si>
  <si>
    <t xml:space="preserve">• MLE finds β values that maximize log-likelihood</t>
  </si>
  <si>
    <t xml:space="preserve">• In practice, we use numerical optimization (e.g., Newton-Raphson)</t>
  </si>
  <si>
    <t xml:space="preserve">FORMULA FOR CONTRIBUTION COLUMN:</t>
  </si>
  <si>
    <t xml:space="preserve">Contribution = Yᵢ × log(p̂ᵢ) + (1-Yᵢ) × log(1-p̂ᵢ)</t>
  </si>
  <si>
    <t xml:space="preserve">[Description] STEP 5: Build confusion matrix and calculate classification performance metrics (Slides 49-55)</t>
  </si>
  <si>
    <t xml:space="preserve">CONFUSION MATRIX AND CLASSIFICATION METRICS</t>
  </si>
  <si>
    <t xml:space="preserve">CLASSIFICATION DATA</t>
  </si>
  <si>
    <t xml:space="preserve">Using predictions from Step 2 with extended dataset:</t>
  </si>
  <si>
    <t xml:space="preserve">Actual (Y)</t>
  </si>
  <si>
    <t xml:space="preserve">Predicted Prob (p̂)</t>
  </si>
  <si>
    <t xml:space="preserve">Threshold=0.5</t>
  </si>
  <si>
    <t xml:space="preserve">Predicted (Ŷ)</t>
  </si>
  <si>
    <t xml:space="preserve">Hint: Ŷ = 1 if p̂ ≥ threshold, otherwise Ŷ = 0</t>
  </si>
  <si>
    <t xml:space="preserve">CONFUSION MATRIX (2×2)</t>
  </si>
  <si>
    <t xml:space="preserve">Fill in the confusion matrix by counting predictions:</t>
  </si>
  <si>
    <t xml:space="preserve">Predicted</t>
  </si>
  <si>
    <t xml:space="preserve">Ŷ = 0</t>
  </si>
  <si>
    <t xml:space="preserve">Ŷ = 1</t>
  </si>
  <si>
    <t xml:space="preserve">Actual</t>
  </si>
  <si>
    <t xml:space="preserve">Y = 0</t>
  </si>
  <si>
    <t xml:space="preserve">← TN (True Negative) | FP (False Positive) →</t>
  </si>
  <si>
    <t xml:space="preserve">Y = 1</t>
  </si>
  <si>
    <t xml:space="preserve">← FN (False Negative) | TP (True Positive) →</t>
  </si>
  <si>
    <t xml:space="preserve">PERFORMANCE METRICS</t>
  </si>
  <si>
    <t xml:space="preserve">Calculate the following metrics using the confusion matrix:</t>
  </si>
  <si>
    <t xml:space="preserve">Metric</t>
  </si>
  <si>
    <t xml:space="preserve">Formula</t>
  </si>
  <si>
    <t xml:space="preserve">Your Calculation</t>
  </si>
  <si>
    <t xml:space="preserve">Accuracy</t>
  </si>
  <si>
    <t xml:space="preserve">(TP + TN) / n</t>
  </si>
  <si>
    <t xml:space="preserve">Sensitivity (Recall)</t>
  </si>
  <si>
    <t xml:space="preserve">Specificity</t>
  </si>
  <si>
    <t xml:space="preserve">TN / (TN + FP)</t>
  </si>
  <si>
    <t xml:space="preserve">Precision (PPV)</t>
  </si>
  <si>
    <t xml:space="preserve">TP / (TP + FP)</t>
  </si>
  <si>
    <t xml:space="preserve">THRESHOLD COMPARISON</t>
  </si>
  <si>
    <t xml:space="preserve">How does the confusion matrix change with different thresholds?</t>
  </si>
  <si>
    <t xml:space="preserve">Threshold = 0.3</t>
  </si>
  <si>
    <t xml:space="preserve">Predicted Ŷ=0</t>
  </si>
  <si>
    <t xml:space="preserve">Predicted Ŷ=1</t>
  </si>
  <si>
    <t xml:space="preserve">Actual Y=0</t>
  </si>
  <si>
    <t xml:space="preserve">Actual Y=1</t>
  </si>
  <si>
    <t xml:space="preserve">Threshold = 0.7</t>
  </si>
  <si>
    <t xml:space="preserve">• Lower threshold (0.3): More positives predicted → Higher Sensitivity, Lower Specificity</t>
  </si>
  <si>
    <t xml:space="preserve">• Higher threshold (0.7): Fewer positives predicted → Lower Sensitivity, Higher Specificity</t>
  </si>
  <si>
    <t xml:space="preserve">[Description] STEP 6: Understand ROC curve and calculate AUC (Slides 56-61)</t>
  </si>
  <si>
    <t xml:space="preserve">ROC CURVE AND AUC CALCULATION</t>
  </si>
  <si>
    <t xml:space="preserve">STEP 1: SORT PREDICTIONS BY PROBABILITY (DESCENDING)</t>
  </si>
  <si>
    <t xml:space="preserve">Rank</t>
  </si>
  <si>
    <t xml:space="preserve">Pred Prob (p̂)</t>
  </si>
  <si>
    <t xml:space="preserve">Threshold</t>
  </si>
  <si>
    <t xml:space="preserve">Notes</t>
  </si>
  <si>
    <t xml:space="preserve">Rank Check</t>
  </si>
  <si>
    <t xml:space="preserve">Highest prob (Y=1)</t>
  </si>
  <si>
    <t xml:space="preserve">Y=1</t>
  </si>
  <si>
    <t xml:space="preserve">First Y=0 (FP occurs here)</t>
  </si>
  <si>
    <t xml:space="preserve">Y=0</t>
  </si>
  <si>
    <t xml:space="preserve">Y=1 missed (FN possible)</t>
  </si>
  <si>
    <t xml:space="preserve">Lowest prob (Y=0)</t>
  </si>
  <si>
    <t xml:space="preserve">STEP 2: CALCULATE TPR AND FPR AT EACH THRESHOLD</t>
  </si>
  <si>
    <t xml:space="preserve">TPR (Sensitivity) = TP / (TP + FN) = TP / P</t>
  </si>
  <si>
    <t xml:space="preserve">FPR (1 - Specificity) = FP / (FP + TN) = FP / N</t>
  </si>
  <si>
    <t xml:space="preserve">Total Positives (P) =</t>
  </si>
  <si>
    <t xml:space="preserve">Total Negatives (N) =</t>
  </si>
  <si>
    <t xml:space="preserve">TP</t>
  </si>
  <si>
    <t xml:space="preserve">FP</t>
  </si>
  <si>
    <t xml:space="preserve">FN</t>
  </si>
  <si>
    <t xml:space="preserve">TN</t>
  </si>
  <si>
    <t xml:space="preserve">TPR</t>
  </si>
  <si>
    <t xml:space="preserve">FPR</t>
  </si>
  <si>
    <t xml:space="preserve">TPR Check</t>
  </si>
  <si>
    <t xml:space="preserve">FPR Check</t>
  </si>
  <si>
    <t xml:space="preserve">STEP 3: ROC CURVE COORDINATES (for plotting)</t>
  </si>
  <si>
    <t xml:space="preserve">The ROC curve plots TPR (y-axis) against FPR (x-axis)</t>
  </si>
  <si>
    <t xml:space="preserve">Point</t>
  </si>
  <si>
    <t xml:space="preserve">FPR (x)</t>
  </si>
  <si>
    <t xml:space="preserve">TPR (y)</t>
  </si>
  <si>
    <t xml:space="preserve">STEP 4: CALCULATE AUC (TRAPEZOIDAL RULE)</t>
  </si>
  <si>
    <t xml:space="preserve">AUC Formula (Trapezoidal Rule):</t>
  </si>
  <si>
    <t xml:space="preserve">AUC = Σ (FPR_{i+1} - FPR_i) × (TPR_{i+1} + TPR_i) / 2</t>
  </si>
  <si>
    <t xml:space="preserve">FPR_i</t>
  </si>
  <si>
    <t xml:space="preserve">FPR_{i+1}</t>
  </si>
  <si>
    <t xml:space="preserve">TPR_i</t>
  </si>
  <si>
    <t xml:space="preserve">TPR_{i+1}</t>
  </si>
  <si>
    <t xml:space="preserve">Trapezoid Area</t>
  </si>
  <si>
    <t xml:space="preserve">AUC INTERPRETATION:</t>
  </si>
  <si>
    <t xml:space="preserve">AUC Value</t>
  </si>
  <si>
    <t xml:space="preserve">Interpretation</t>
  </si>
  <si>
    <t xml:space="preserve">0.5</t>
  </si>
  <si>
    <t xml:space="preserve">Random classifier (no discrimination)</t>
  </si>
  <si>
    <t xml:space="preserve">0.5 - 0.7</t>
  </si>
  <si>
    <t xml:space="preserve">Poor discrimination</t>
  </si>
  <si>
    <t xml:space="preserve">0.7 - 0.8</t>
  </si>
  <si>
    <t xml:space="preserve">Acceptable discrimination</t>
  </si>
  <si>
    <t xml:space="preserve">0.8 - 0.9</t>
  </si>
  <si>
    <t xml:space="preserve">Excellent discrimination</t>
  </si>
  <si>
    <t xml:space="preserve">0.9 - 1.0</t>
  </si>
  <si>
    <t xml:space="preserve">Outstanding discrimination</t>
  </si>
  <si>
    <t xml:space="preserve">Our AUC ≈ 0.94 indicates OUTSTANDING discrimination!</t>
  </si>
  <si>
    <t xml:space="preserve">[Description] STEP 7: Draw Your Own ROC Curve</t>
  </si>
  <si>
    <t xml:space="preserve">ROC CURVE PLOTTING EXERCISE</t>
  </si>
  <si>
    <t xml:space="preserve">Instructions:</t>
  </si>
  <si>
    <t xml:space="preserve">1. Use the FPR and TPR values you calculated in Step 6</t>
  </si>
  <si>
    <t xml:space="preserve">2. Find each (FPR, TPR) coordinate on the grid below</t>
  </si>
  <si>
    <t xml:space="preserve">3. Place "●" (or any marker) in the corresponding cell</t>
  </si>
  <si>
    <t xml:space="preserve">4. Connect the points to visualize the ROC curve</t>
  </si>
  <si>
    <t xml:space="preserve">5. The diagonal line (gray) represents a random classifier (AUC=0.5)</t>
  </si>
  <si>
    <t xml:space="preserve">Your ROC Coordinates (from Step 6):</t>
  </si>
  <si>
    <t xml:space="preserve">Plot?</t>
  </si>
  <si>
    <t xml:space="preserve">ROC CURVE GRID (Place ● markers at your calculated coordinates)</t>
  </si>
  <si>
    <t xml:space="preserve">TPR (Sensitivity)</t>
  </si>
  <si>
    <t xml:space="preserve">●</t>
  </si>
  <si>
    <t xml:space="preserve">·</t>
  </si>
  <si>
    <t xml:space="preserve">FPR (1 - Specificity)</t>
  </si>
  <si>
    <t xml:space="preserve">Legend:</t>
  </si>
  <si>
    <t xml:space="preserve">□ = Empty grid cell</t>
  </si>
  <si>
    <t xml:space="preserve">· (gray cells) = Random classifier line (AUC=0.5)</t>
  </si>
  <si>
    <t xml:space="preserve">● (blue) = Pre-filled start (0,0) and end (1,1) points</t>
  </si>
  <si>
    <t xml:space="preserve">● = Your ROC curve point (place these!)</t>
  </si>
  <si>
    <t xml:space="preserve">Fill in the remaining points from your Step 6 calculations!</t>
  </si>
  <si>
    <t xml:space="preserve">Hint: Start point is (0,0) and end point is (1,1)</t>
  </si>
  <si>
    <t xml:space="preserve">How to read coordinates:</t>
  </si>
  <si>
    <t xml:space="preserve">  Example: (FPR=0.17, TPR=0.83) → find column 0.2, row 0.8</t>
  </si>
  <si>
    <t xml:space="preserve">  (Round to nearest 0.1 for grid placement)</t>
  </si>
  <si>
    <t xml:space="preserve">[Description] ANSWER KEY - All solutions for verification</t>
  </si>
  <si>
    <t xml:space="preserve">ANSWER KEY</t>
  </si>
  <si>
    <t xml:space="preserve">STEP 1: Odds and Logit Conversions</t>
  </si>
  <si>
    <t xml:space="preserve">p</t>
  </si>
  <si>
    <t xml:space="preserve">odds</t>
  </si>
  <si>
    <t xml:space="preserve">logit</t>
  </si>
  <si>
    <t xml:space="preserve">Sigmoid Function Values</t>
  </si>
  <si>
    <t xml:space="preserve">z</t>
  </si>
  <si>
    <t xml:space="preserve">σ(z)</t>
  </si>
  <si>
    <t xml:space="preserve">STEP 2: Predictions</t>
  </si>
  <si>
    <t xml:space="preserve">X</t>
  </si>
  <si>
    <t xml:space="preserve">p̂</t>
  </si>
  <si>
    <t xml:space="preserve">Ŷ</t>
  </si>
  <si>
    <t xml:space="preserve">Correct predictions: 6/6</t>
  </si>
  <si>
    <t xml:space="preserve">Accuracy: 100.0%</t>
  </si>
  <si>
    <t xml:space="preserve">STEP 3: Odds Ratio</t>
  </si>
  <si>
    <t xml:space="preserve">Odds Ratio = e^β₁ =</t>
  </si>
  <si>
    <t xml:space="preserve">STEP 4: Maximum Likelihood Estimation</t>
  </si>
  <si>
    <t xml:space="preserve">Y</t>
  </si>
  <si>
    <t xml:space="preserve">log(p̂)</t>
  </si>
  <si>
    <t xml:space="preserve">log(1-p̂)</t>
  </si>
  <si>
    <t xml:space="preserve">Total</t>
  </si>
  <si>
    <t xml:space="preserve">STEP 5: Confusion Matrix Answers</t>
  </si>
  <si>
    <t xml:space="preserve">Predicted Classes (Threshold = 0.5):</t>
  </si>
  <si>
    <t xml:space="preserve">Prob</t>
  </si>
  <si>
    <t xml:space="preserve">Confusion Matrix (Threshold = 0.5):</t>
  </si>
  <si>
    <t xml:space="preserve">Pred Ŷ=0</t>
  </si>
  <si>
    <t xml:space="preserve">Pred Ŷ=1</t>
  </si>
  <si>
    <t xml:space="preserve">TN=5, FP=1</t>
  </si>
  <si>
    <t xml:space="preserve">FN=1, TP=5</t>
  </si>
  <si>
    <t xml:space="preserve">Performance Metrics:</t>
  </si>
  <si>
    <t xml:space="preserve">Calculation</t>
  </si>
  <si>
    <t xml:space="preserve">Value</t>
  </si>
  <si>
    <t xml:space="preserve">(5+5)/12</t>
  </si>
  <si>
    <t xml:space="preserve">Sensitivity</t>
  </si>
  <si>
    <t xml:space="preserve">5/(5+1)</t>
  </si>
  <si>
    <t xml:space="preserve">Precision</t>
  </si>
  <si>
    <t xml:space="preserve">Threshold Comparison:</t>
  </si>
  <si>
    <t xml:space="preserve">Threshold 0.3: TN=3, FP=3, FN=0, TP=6</t>
  </si>
  <si>
    <t xml:space="preserve">Threshold 0.7: TN=6, FP=0, FN=2, TP=4</t>
  </si>
  <si>
    <t xml:space="preserve">STEP 6: ROC and AUC Answers</t>
  </si>
  <si>
    <t xml:space="preserve">TPR/FPR Calculation Table:</t>
  </si>
  <si>
    <t xml:space="preserve">ROC Coordinates (FPR, TPR):</t>
  </si>
  <si>
    <t xml:space="preserve">AUC Calculation:</t>
  </si>
  <si>
    <t xml:space="preserve">AUC ≈ 0.9444</t>
  </si>
  <si>
    <t xml:space="preserve">Interpretation: Outstanding discrimination</t>
  </si>
  <si>
    <t xml:space="preserve">STEP 7: ROC CURVE PLOT ANSWER</t>
  </si>
  <si>
    <t xml:space="preserve">Correct ROC curve points (place ● at these coordinates):</t>
  </si>
  <si>
    <t xml:space="preserve">FPR→</t>
  </si>
  <si>
    <t xml:space="preserve">↑TPR</t>
  </si>
  <si>
    <t xml:space="preserve">Note: The curve hugs the top-left corner = excellent classifier!</t>
  </si>
  <si>
    <t xml:space="preserve">AUC ≈ 0.94 (area under this curve)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</si>
</sst>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505050"/>
      <name val="Calibri"/>
      <family val="0"/>
      <charset val="1"/>
    </font>
    <font>
      <b val="true"/>
      <sz val="14"/>
      <color rgb="FF4472C4"/>
      <name val="Calibri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505050"/>
      <name val="Cambria"/>
      <family val="0"/>
      <charset val="1"/>
    </font>
    <font>
      <b val="true"/>
      <sz val="11"/>
      <color theme="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4"/>
      <color theme="1"/>
      <name val="Cambria"/>
      <family val="0"/>
      <charset val="1"/>
    </font>
    <font>
      <i val="true"/>
      <sz val="11"/>
      <color theme="1"/>
      <name val="Cambria"/>
      <family val="0"/>
      <charset val="1"/>
    </font>
    <font>
      <i val="true"/>
      <sz val="10"/>
      <color rgb="FF666666"/>
      <name val="Calibri"/>
      <family val="0"/>
      <charset val="1"/>
    </font>
    <font>
      <i val="true"/>
      <sz val="9"/>
      <color theme="1"/>
      <name val="Calibri"/>
      <family val="0"/>
      <charset val="1"/>
    </font>
    <font>
      <b val="true"/>
      <sz val="11"/>
      <color rgb="FF006600"/>
      <name val="Calibri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888888"/>
      <name val="Calibri"/>
      <family val="0"/>
      <charset val="1"/>
    </font>
    <font>
      <b val="true"/>
      <sz val="14"/>
      <color rgb="FF4472C4"/>
      <name val="Cambria"/>
      <family val="0"/>
      <charset val="1"/>
    </font>
    <font>
      <b val="true"/>
      <sz val="11"/>
      <color rgb="FF0000FF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0F8FF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FFFFFF"/>
        <bgColor rgb="FFF0F8FF"/>
      </patternFill>
    </fill>
    <fill>
      <patternFill patternType="solid">
        <fgColor rgb="FFDAEEF3"/>
        <bgColor rgb="FFEEEEEE"/>
      </patternFill>
    </fill>
    <fill>
      <patternFill patternType="solid">
        <fgColor rgb="FFD8E4BC"/>
        <bgColor rgb="FFDDDDDD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DAEEF3"/>
      </patternFill>
    </fill>
    <fill>
      <patternFill patternType="solid">
        <fgColor rgb="FFFFCCCC"/>
        <bgColor rgb="FFDDDDDD"/>
      </patternFill>
    </fill>
    <fill>
      <patternFill patternType="solid">
        <fgColor rgb="FF4472C4"/>
        <bgColor rgb="FF4F81BD"/>
      </patternFill>
    </fill>
    <fill>
      <patternFill patternType="solid">
        <fgColor theme="4"/>
        <bgColor rgb="FF4472C4"/>
      </patternFill>
    </fill>
    <fill>
      <patternFill patternType="solid">
        <fgColor rgb="FFE0E0E0"/>
        <bgColor rgb="FFDDDDDD"/>
      </patternFill>
    </fill>
    <fill>
      <patternFill patternType="solid">
        <fgColor rgb="FFEEEEEE"/>
        <bgColor rgb="FFF2F2F2"/>
      </patternFill>
    </fill>
    <fill>
      <patternFill patternType="solid">
        <fgColor rgb="FFDDDDDD"/>
        <bgColor rgb="FFE0E0E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D8E4BC"/>
      <rgbColor rgb="FF888888"/>
      <rgbColor rgb="FF9999FF"/>
      <rgbColor rgb="FF993366"/>
      <rgbColor rgb="FFF2F2F2"/>
      <rgbColor rgb="FFDAEEF3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8FF"/>
      <rgbColor rgb="FFCCFFCC"/>
      <rgbColor rgb="FFEEEEEE"/>
      <rgbColor rgb="FFE0E0E0"/>
      <rgbColor rgb="FFFF99CC"/>
      <rgbColor rgb="FFCC99FF"/>
      <rgbColor rgb="FFFFCCCC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333399"/>
      <rgbColor rgb="FF505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6" min="3" style="0" width="8.71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25" hidden="false" customHeight="true" outlineLevel="0" collapsed="false">
      <c r="A3" s="4" t="s">
        <v>1</v>
      </c>
      <c r="B3" s="4"/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/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5" t="s">
        <v>2</v>
      </c>
      <c r="B5" s="3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3"/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3" t="s">
        <v>3</v>
      </c>
      <c r="B7" s="3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3" t="s">
        <v>4</v>
      </c>
      <c r="B8" s="3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3" t="s">
        <v>5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3" t="s">
        <v>6</v>
      </c>
      <c r="B10" s="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3" t="s">
        <v>7</v>
      </c>
      <c r="B11" s="3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" t="s">
        <v>8</v>
      </c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3" t="s">
        <v>9</v>
      </c>
      <c r="B13" s="3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3" t="s">
        <v>10</v>
      </c>
      <c r="B14" s="3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6" t="s">
        <v>11</v>
      </c>
      <c r="B15" s="3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7" t="s">
        <v>12</v>
      </c>
      <c r="B16" s="8" t="s">
        <v>13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7" t="s">
        <v>14</v>
      </c>
      <c r="B17" s="8" t="s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7" t="s">
        <v>16</v>
      </c>
      <c r="B18" s="8" t="s">
        <v>17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7" t="s">
        <v>18</v>
      </c>
      <c r="B19" s="8" t="s">
        <v>19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7" t="s">
        <v>20</v>
      </c>
      <c r="B20" s="8" t="s">
        <v>21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7" t="s">
        <v>22</v>
      </c>
      <c r="B21" s="8" t="s">
        <v>23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3"/>
      <c r="B22" s="3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9" t="s">
        <v>24</v>
      </c>
      <c r="B23" s="10" t="s">
        <v>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9" t="s">
        <v>26</v>
      </c>
      <c r="B24" s="10" t="s">
        <v>27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9" t="s">
        <v>28</v>
      </c>
      <c r="B25" s="10" t="s">
        <v>29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11" t="s">
        <v>30</v>
      </c>
      <c r="B26" s="12" t="s">
        <v>31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13"/>
      <c r="B27" s="3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5" t="s">
        <v>32</v>
      </c>
      <c r="B28" s="3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5"/>
      <c r="B29" s="3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14"/>
      <c r="B30" s="3" t="s">
        <v>33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15"/>
      <c r="B31" s="3" t="s">
        <v>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16"/>
      <c r="B32" s="3" t="s">
        <v>35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17"/>
      <c r="B33" s="3" t="s">
        <v>36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18"/>
      <c r="B34" s="3" t="s">
        <v>37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3"/>
      <c r="B35" s="3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3"/>
      <c r="B36" s="3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3"/>
      <c r="B37" s="3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3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3"/>
      <c r="B39" s="3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"/>
      <c r="B40" s="3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"/>
      <c r="B41" s="3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3"/>
      <c r="B42" s="3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"/>
      <c r="B43" s="3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3"/>
      <c r="B44" s="3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3"/>
      <c r="B45" s="3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3"/>
      <c r="B46" s="3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3"/>
      <c r="B47" s="3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"/>
      <c r="B48" s="3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3"/>
      <c r="B49" s="3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3"/>
      <c r="B50" s="3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3"/>
      <c r="B51" s="3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3"/>
      <c r="B52" s="3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3"/>
      <c r="B53" s="3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3"/>
      <c r="B54" s="3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3"/>
      <c r="B55" s="3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3"/>
      <c r="B56" s="3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3"/>
      <c r="B57" s="3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3"/>
      <c r="B58" s="3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3"/>
      <c r="B59" s="3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3"/>
      <c r="B60" s="3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"/>
      <c r="B61" s="3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3"/>
      <c r="B62" s="3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3"/>
      <c r="B63" s="3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3"/>
      <c r="B64" s="3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3"/>
      <c r="B65" s="3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3"/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3"/>
      <c r="B67" s="3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3"/>
      <c r="B68" s="3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3"/>
      <c r="B69" s="3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3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3"/>
      <c r="B71" s="3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3"/>
      <c r="B72" s="3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3"/>
      <c r="B73" s="3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3"/>
      <c r="B74" s="3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3"/>
      <c r="B75" s="3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3"/>
      <c r="B76" s="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3"/>
      <c r="B77" s="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3"/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3"/>
      <c r="B79" s="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3"/>
      <c r="B80" s="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3"/>
      <c r="B81" s="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3"/>
      <c r="B82" s="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3"/>
      <c r="B83" s="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3"/>
      <c r="B84" s="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3"/>
      <c r="B85" s="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3"/>
      <c r="B86" s="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3"/>
      <c r="B87" s="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3"/>
      <c r="B88" s="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3"/>
      <c r="B89" s="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3"/>
      <c r="B90" s="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3"/>
      <c r="B91" s="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3"/>
      <c r="B92" s="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3"/>
      <c r="B93" s="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3"/>
      <c r="B94" s="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3"/>
      <c r="B95" s="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3"/>
      <c r="B96" s="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3"/>
      <c r="B97" s="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3"/>
      <c r="B98" s="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3"/>
      <c r="B99" s="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3"/>
      <c r="B100" s="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3"/>
      <c r="B101" s="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3"/>
      <c r="B102" s="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3"/>
      <c r="B103" s="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3"/>
      <c r="B104" s="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3"/>
      <c r="B105" s="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3"/>
      <c r="B106" s="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3"/>
      <c r="B107" s="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3"/>
      <c r="B108" s="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3"/>
      <c r="B109" s="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3"/>
      <c r="B110" s="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3"/>
      <c r="B111" s="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3"/>
      <c r="B112" s="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3"/>
      <c r="B113" s="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3"/>
      <c r="B114" s="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3"/>
      <c r="B115" s="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3"/>
      <c r="B116" s="3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3"/>
      <c r="B117" s="3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3"/>
      <c r="B118" s="3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3"/>
      <c r="B119" s="3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3"/>
      <c r="B120" s="3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3"/>
      <c r="B121" s="3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3"/>
      <c r="B122" s="3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3"/>
      <c r="B123" s="3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3"/>
      <c r="B124" s="3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3"/>
      <c r="B125" s="3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3"/>
      <c r="B126" s="3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3"/>
      <c r="B127" s="3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3"/>
      <c r="B128" s="3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3"/>
      <c r="B129" s="3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3"/>
      <c r="B130" s="3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3"/>
      <c r="B131" s="3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3"/>
      <c r="B132" s="3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3"/>
      <c r="B133" s="3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3"/>
      <c r="B134" s="3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3"/>
      <c r="B135" s="3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3"/>
      <c r="B136" s="3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3"/>
      <c r="B137" s="3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3"/>
      <c r="B138" s="3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3"/>
      <c r="B139" s="3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3"/>
      <c r="B140" s="3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3"/>
      <c r="B141" s="3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3"/>
      <c r="B142" s="3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3"/>
      <c r="B143" s="3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3"/>
      <c r="B144" s="3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3"/>
      <c r="B145" s="3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3"/>
      <c r="B146" s="3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3"/>
      <c r="B147" s="3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3"/>
      <c r="B148" s="3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3"/>
      <c r="B149" s="3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3"/>
      <c r="B150" s="3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3"/>
      <c r="B151" s="3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3"/>
      <c r="B152" s="3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3"/>
      <c r="B153" s="3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3"/>
      <c r="B154" s="3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3"/>
      <c r="B155" s="3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3"/>
      <c r="B156" s="3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3"/>
      <c r="B157" s="3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3"/>
      <c r="B158" s="3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3"/>
      <c r="B159" s="3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3"/>
      <c r="B160" s="3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3"/>
      <c r="B161" s="3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3"/>
      <c r="B162" s="3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3"/>
      <c r="B163" s="3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3"/>
      <c r="B164" s="3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3"/>
      <c r="B165" s="3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3"/>
      <c r="B166" s="3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3"/>
      <c r="B167" s="3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3"/>
      <c r="B168" s="3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3"/>
      <c r="B169" s="3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3"/>
      <c r="B170" s="3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3"/>
      <c r="B171" s="3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3"/>
      <c r="B172" s="3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3"/>
      <c r="B173" s="3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3"/>
      <c r="B174" s="3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3"/>
      <c r="B175" s="3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3"/>
      <c r="B176" s="3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3"/>
      <c r="B177" s="3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3"/>
      <c r="B178" s="3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3"/>
      <c r="B179" s="3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3"/>
      <c r="B180" s="3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3"/>
      <c r="B181" s="3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3"/>
      <c r="B182" s="3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3"/>
      <c r="B183" s="3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3"/>
      <c r="B184" s="3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3"/>
      <c r="B185" s="3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3"/>
      <c r="B186" s="3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3"/>
      <c r="B187" s="3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3"/>
      <c r="B188" s="3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3"/>
      <c r="B189" s="3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3"/>
      <c r="B190" s="3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3"/>
      <c r="B191" s="3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3"/>
      <c r="B192" s="3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3"/>
      <c r="B193" s="3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3"/>
      <c r="B194" s="3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3"/>
      <c r="B195" s="3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3"/>
      <c r="B196" s="3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3"/>
      <c r="B197" s="3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3"/>
      <c r="B198" s="3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3"/>
      <c r="B199" s="3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3"/>
      <c r="B200" s="3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3"/>
      <c r="B201" s="3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3"/>
      <c r="B202" s="3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3"/>
      <c r="B203" s="3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3"/>
      <c r="B204" s="3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3"/>
      <c r="B205" s="3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3"/>
      <c r="B206" s="3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3"/>
      <c r="B207" s="3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3"/>
      <c r="B208" s="3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3"/>
      <c r="B209" s="3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3"/>
      <c r="B210" s="3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3"/>
      <c r="B211" s="3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3"/>
      <c r="B212" s="3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3"/>
      <c r="B213" s="3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3"/>
      <c r="B214" s="3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3"/>
      <c r="B215" s="3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3"/>
      <c r="B216" s="3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3"/>
      <c r="B217" s="3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3"/>
      <c r="B218" s="3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3"/>
      <c r="B219" s="3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3"/>
      <c r="B220" s="3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3"/>
      <c r="B221" s="3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3"/>
      <c r="B222" s="3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3"/>
      <c r="B223" s="3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3"/>
      <c r="B224" s="3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3"/>
      <c r="B225" s="3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3"/>
      <c r="B226" s="3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3"/>
      <c r="B227" s="3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3"/>
      <c r="B228" s="3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3"/>
      <c r="B229" s="3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3"/>
      <c r="B230" s="3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3"/>
      <c r="B231" s="3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3"/>
      <c r="B232" s="3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3"/>
      <c r="B233" s="3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3"/>
      <c r="B234" s="3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F1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4" min="1" style="0" width="18"/>
    <col collapsed="false" customWidth="true" hidden="false" outlineLevel="0" max="6" min="5" style="0" width="8.71"/>
  </cols>
  <sheetData>
    <row r="1" customFormat="false" ht="15" hidden="false" customHeight="true" outlineLevel="0" collapsed="false">
      <c r="A1" s="19" t="s">
        <v>38</v>
      </c>
      <c r="B1" s="19"/>
      <c r="C1" s="19"/>
      <c r="D1" s="19"/>
      <c r="E1" s="19"/>
      <c r="F1" s="1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0" t="s">
        <v>39</v>
      </c>
      <c r="B3" s="3"/>
      <c r="C3" s="3"/>
      <c r="D3" s="3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/>
      <c r="B4" s="3"/>
      <c r="C4" s="3"/>
      <c r="D4" s="3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1" t="s">
        <v>40</v>
      </c>
      <c r="B5" s="21" t="s">
        <v>41</v>
      </c>
      <c r="C5" s="21" t="s">
        <v>42</v>
      </c>
      <c r="D5" s="22" t="s">
        <v>43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true" outlineLevel="0" collapsed="false">
      <c r="A6" s="23" t="n">
        <v>0.1</v>
      </c>
      <c r="B6" s="24"/>
      <c r="C6" s="24"/>
      <c r="D6" s="25" t="str">
        <f aca="false">IF(AND(ABS(B6-0.1111)&lt;0.01,ABS(C6--2.1972)&lt;0.01),"✓","✗")</f>
        <v>✗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3" t="n">
        <v>0.25</v>
      </c>
      <c r="B7" s="24"/>
      <c r="C7" s="24"/>
      <c r="D7" s="25" t="str">
        <f aca="false">IF(AND(ABS(B7-0.3333)&lt;0.01,ABS(C7--1.0986)&lt;0.01),"✓","✗")</f>
        <v>✗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3" t="n">
        <v>0.5</v>
      </c>
      <c r="B8" s="24"/>
      <c r="C8" s="24"/>
      <c r="D8" s="25" t="str">
        <f aca="false">IF(AND(ABS(B8-1)&lt;0.01,ABS(C8-0)&lt;0.01),"✓","✗")</f>
        <v>✗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3" t="n">
        <v>0.75</v>
      </c>
      <c r="B9" s="24"/>
      <c r="C9" s="24"/>
      <c r="D9" s="25" t="str">
        <f aca="false">IF(AND(ABS(B9-3)&lt;0.01,ABS(C9-1.0986)&lt;0.01),"✓","✗")</f>
        <v>✗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3" t="n">
        <v>0.9</v>
      </c>
      <c r="B10" s="24"/>
      <c r="C10" s="24"/>
      <c r="D10" s="25" t="str">
        <f aca="false">IF(AND(ABS(B10-9)&lt;0.01,ABS(C10-2.1972)&lt;0.01),"✓","✗")</f>
        <v>✗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3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6" t="s">
        <v>44</v>
      </c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3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13" t="s">
        <v>45</v>
      </c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3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1" t="s">
        <v>46</v>
      </c>
      <c r="B17" s="21" t="s">
        <v>47</v>
      </c>
      <c r="C17" s="21" t="s">
        <v>48</v>
      </c>
      <c r="D17" s="21" t="s">
        <v>49</v>
      </c>
      <c r="E17" s="27" t="s">
        <v>43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23" t="n">
        <v>-2</v>
      </c>
      <c r="B18" s="24"/>
      <c r="C18" s="24"/>
      <c r="D18" s="24"/>
      <c r="E18" s="25" t="str">
        <f aca="false">IF(ABS(D18-0.1192)&lt;0.01,"✓","✗")</f>
        <v>✗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3" t="n">
        <v>-1</v>
      </c>
      <c r="B19" s="24"/>
      <c r="C19" s="24"/>
      <c r="D19" s="24"/>
      <c r="E19" s="25" t="str">
        <f aca="false">IF(ABS(D19-0.2689)&lt;0.01,"✓","✗")</f>
        <v>✗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23" t="n">
        <v>0</v>
      </c>
      <c r="B20" s="24"/>
      <c r="C20" s="24"/>
      <c r="D20" s="24"/>
      <c r="E20" s="25" t="str">
        <f aca="false">IF(ABS(D20-0.5)&lt;0.01,"✓","✗")</f>
        <v>✗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3" t="n">
        <v>1</v>
      </c>
      <c r="B21" s="24"/>
      <c r="C21" s="24"/>
      <c r="D21" s="24"/>
      <c r="E21" s="25" t="str">
        <f aca="false">IF(ABS(D21-0.7311)&lt;0.01,"✓","✗")</f>
        <v>✗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3" t="n">
        <v>2</v>
      </c>
      <c r="B22" s="24"/>
      <c r="C22" s="24"/>
      <c r="D22" s="24"/>
      <c r="E22" s="25" t="str">
        <f aca="false">IF(ABS(D22-0.8808)&lt;0.01,"✓","✗")</f>
        <v>✗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3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3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3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3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3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3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3"/>
      <c r="B29" s="3"/>
      <c r="C29" s="3"/>
      <c r="D29" s="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3"/>
      <c r="B30" s="3"/>
      <c r="C30" s="3"/>
      <c r="D30" s="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3"/>
      <c r="B31" s="3"/>
      <c r="C31" s="3"/>
      <c r="D31" s="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3"/>
      <c r="B32" s="3"/>
      <c r="C32" s="3"/>
      <c r="D32" s="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3"/>
      <c r="B33" s="3"/>
      <c r="C33" s="3"/>
      <c r="D33" s="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3"/>
      <c r="B34" s="3"/>
      <c r="C34" s="3"/>
      <c r="D34" s="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3"/>
      <c r="B35" s="3"/>
      <c r="C35" s="3"/>
      <c r="D35" s="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3"/>
      <c r="B36" s="3"/>
      <c r="C36" s="3"/>
      <c r="D36" s="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3"/>
      <c r="B37" s="3"/>
      <c r="C37" s="3"/>
      <c r="D37" s="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3"/>
      <c r="B38" s="3"/>
      <c r="C38" s="3"/>
      <c r="D38" s="3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3"/>
      <c r="B39" s="3"/>
      <c r="C39" s="3"/>
      <c r="D39" s="3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"/>
      <c r="B40" s="3"/>
      <c r="C40" s="3"/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"/>
      <c r="B41" s="3"/>
      <c r="C41" s="3"/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3"/>
      <c r="B42" s="3"/>
      <c r="C42" s="3"/>
      <c r="D42" s="3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"/>
      <c r="B43" s="3"/>
      <c r="C43" s="3"/>
      <c r="D43" s="3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3"/>
      <c r="B44" s="3"/>
      <c r="C44" s="3"/>
      <c r="D44" s="3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3"/>
      <c r="B45" s="3"/>
      <c r="C45" s="3"/>
      <c r="D45" s="3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3"/>
      <c r="B46" s="3"/>
      <c r="C46" s="3"/>
      <c r="D46" s="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3"/>
      <c r="B47" s="3"/>
      <c r="C47" s="3"/>
      <c r="D47" s="3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"/>
      <c r="B48" s="3"/>
      <c r="C48" s="3"/>
      <c r="D48" s="3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3"/>
      <c r="B49" s="3"/>
      <c r="C49" s="3"/>
      <c r="D49" s="3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3"/>
      <c r="B50" s="3"/>
      <c r="C50" s="3"/>
      <c r="D50" s="3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3"/>
      <c r="B51" s="3"/>
      <c r="C51" s="3"/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3"/>
      <c r="B52" s="3"/>
      <c r="C52" s="3"/>
      <c r="D52" s="3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3"/>
      <c r="B53" s="3"/>
      <c r="C53" s="3"/>
      <c r="D53" s="3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3"/>
      <c r="B54" s="3"/>
      <c r="C54" s="3"/>
      <c r="D54" s="3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3"/>
      <c r="B55" s="3"/>
      <c r="C55" s="3"/>
      <c r="D55" s="3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3"/>
      <c r="B56" s="3"/>
      <c r="C56" s="3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3"/>
      <c r="B57" s="3"/>
      <c r="C57" s="3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3"/>
      <c r="B58" s="3"/>
      <c r="C58" s="3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3"/>
      <c r="B59" s="3"/>
      <c r="C59" s="3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3"/>
      <c r="B60" s="3"/>
      <c r="C60" s="3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"/>
      <c r="B61" s="3"/>
      <c r="C61" s="3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3"/>
      <c r="B62" s="3"/>
      <c r="C62" s="3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3"/>
      <c r="B63" s="3"/>
      <c r="C63" s="3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3"/>
      <c r="B64" s="3"/>
      <c r="C64" s="3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3"/>
      <c r="B65" s="3"/>
      <c r="C65" s="3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3"/>
      <c r="B66" s="3"/>
      <c r="C66" s="3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3"/>
      <c r="B67" s="3"/>
      <c r="C67" s="3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3"/>
      <c r="B68" s="3"/>
      <c r="C68" s="3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3"/>
      <c r="B69" s="3"/>
      <c r="C69" s="3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3"/>
      <c r="B70" s="3"/>
      <c r="C70" s="3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3"/>
      <c r="B71" s="3"/>
      <c r="C71" s="3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3"/>
      <c r="B72" s="3"/>
      <c r="C72" s="3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3"/>
      <c r="B73" s="3"/>
      <c r="C73" s="3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3"/>
      <c r="B74" s="3"/>
      <c r="C74" s="3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3"/>
      <c r="B75" s="3"/>
      <c r="C75" s="3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3"/>
      <c r="B76" s="3"/>
      <c r="C76" s="3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3"/>
      <c r="B77" s="3"/>
      <c r="C77" s="3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3"/>
      <c r="B78" s="3"/>
      <c r="C78" s="3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3"/>
      <c r="B79" s="3"/>
      <c r="C79" s="3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3"/>
      <c r="B80" s="3"/>
      <c r="C80" s="3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3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3"/>
      <c r="B82" s="3"/>
      <c r="C82" s="3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3"/>
      <c r="B83" s="3"/>
      <c r="C83" s="3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3"/>
      <c r="B84" s="3"/>
      <c r="C84" s="3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3"/>
      <c r="B85" s="3"/>
      <c r="C85" s="3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3"/>
      <c r="B86" s="3"/>
      <c r="C86" s="3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3"/>
      <c r="B87" s="3"/>
      <c r="C87" s="3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3"/>
      <c r="B88" s="3"/>
      <c r="C88" s="3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3"/>
      <c r="B89" s="3"/>
      <c r="C89" s="3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3"/>
      <c r="B90" s="3"/>
      <c r="C90" s="3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3"/>
      <c r="B91" s="3"/>
      <c r="C91" s="3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3"/>
      <c r="B92" s="3"/>
      <c r="C92" s="3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3"/>
      <c r="B93" s="3"/>
      <c r="C93" s="3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3"/>
      <c r="B94" s="3"/>
      <c r="C94" s="3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3"/>
      <c r="B95" s="3"/>
      <c r="C95" s="3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3"/>
      <c r="B96" s="3"/>
      <c r="C96" s="3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3"/>
      <c r="B97" s="3"/>
      <c r="C97" s="3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3"/>
      <c r="B98" s="3"/>
      <c r="C98" s="3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3"/>
      <c r="B99" s="3"/>
      <c r="C99" s="3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3"/>
      <c r="B100" s="3"/>
      <c r="C100" s="3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3"/>
      <c r="B101" s="3"/>
      <c r="C101" s="3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3"/>
      <c r="B102" s="3"/>
      <c r="C102" s="3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3"/>
      <c r="B103" s="3"/>
      <c r="C103" s="3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3"/>
      <c r="B104" s="3"/>
      <c r="C104" s="3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3"/>
      <c r="B105" s="3"/>
      <c r="C105" s="3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3"/>
      <c r="B106" s="3"/>
      <c r="C106" s="3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3"/>
      <c r="B107" s="3"/>
      <c r="C107" s="3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3"/>
      <c r="B108" s="3"/>
      <c r="C108" s="3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3"/>
      <c r="B109" s="3"/>
      <c r="C109" s="3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3"/>
      <c r="B110" s="3"/>
      <c r="C110" s="3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3"/>
      <c r="B111" s="3"/>
      <c r="C111" s="3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3"/>
      <c r="B112" s="3"/>
      <c r="C112" s="3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3"/>
      <c r="B113" s="3"/>
      <c r="C113" s="3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3"/>
      <c r="B114" s="3"/>
      <c r="C114" s="3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3"/>
      <c r="B115" s="3"/>
      <c r="C115" s="3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3"/>
      <c r="B116" s="3"/>
      <c r="C116" s="3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3"/>
      <c r="B117" s="3"/>
      <c r="C117" s="3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3"/>
      <c r="B118" s="3"/>
      <c r="C118" s="3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3"/>
      <c r="B119" s="3"/>
      <c r="C119" s="3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3"/>
      <c r="B120" s="3"/>
      <c r="C120" s="3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3"/>
      <c r="B121" s="3"/>
      <c r="C121" s="3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3"/>
      <c r="B122" s="3"/>
      <c r="C122" s="3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3"/>
      <c r="B123" s="3"/>
      <c r="C123" s="3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3"/>
      <c r="B124" s="3"/>
      <c r="C124" s="3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3"/>
      <c r="B125" s="3"/>
      <c r="C125" s="3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3"/>
      <c r="B126" s="3"/>
      <c r="C126" s="3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3"/>
      <c r="B127" s="3"/>
      <c r="C127" s="3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3"/>
      <c r="B128" s="3"/>
      <c r="C128" s="3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3"/>
      <c r="B129" s="3"/>
      <c r="C129" s="3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3"/>
      <c r="B130" s="3"/>
      <c r="C130" s="3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3"/>
      <c r="B131" s="3"/>
      <c r="C131" s="3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3"/>
      <c r="B132" s="3"/>
      <c r="C132" s="3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3"/>
      <c r="B133" s="3"/>
      <c r="C133" s="3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3"/>
      <c r="B134" s="3"/>
      <c r="C134" s="3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3"/>
      <c r="B135" s="3"/>
      <c r="C135" s="3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3"/>
      <c r="B136" s="3"/>
      <c r="C136" s="3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3"/>
      <c r="B137" s="3"/>
      <c r="C137" s="3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3"/>
      <c r="B138" s="3"/>
      <c r="C138" s="3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3"/>
      <c r="B139" s="3"/>
      <c r="C139" s="3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3"/>
      <c r="B140" s="3"/>
      <c r="C140" s="3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3"/>
      <c r="B141" s="3"/>
      <c r="C141" s="3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3"/>
      <c r="B142" s="3"/>
      <c r="C142" s="3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3"/>
      <c r="B143" s="3"/>
      <c r="C143" s="3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3"/>
      <c r="B144" s="3"/>
      <c r="C144" s="3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3"/>
      <c r="B145" s="3"/>
      <c r="C145" s="3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3"/>
      <c r="B146" s="3"/>
      <c r="C146" s="3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3"/>
      <c r="B147" s="3"/>
      <c r="C147" s="3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3"/>
      <c r="B148" s="3"/>
      <c r="C148" s="3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3"/>
      <c r="B149" s="3"/>
      <c r="C149" s="3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3"/>
      <c r="B150" s="3"/>
      <c r="C150" s="3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3"/>
      <c r="B151" s="3"/>
      <c r="C151" s="3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3"/>
      <c r="B152" s="3"/>
      <c r="C152" s="3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3"/>
      <c r="B153" s="3"/>
      <c r="C153" s="3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3"/>
      <c r="B154" s="3"/>
      <c r="C154" s="3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3"/>
      <c r="B155" s="3"/>
      <c r="C155" s="3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3"/>
      <c r="B156" s="3"/>
      <c r="C156" s="3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3"/>
      <c r="B157" s="3"/>
      <c r="C157" s="3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3"/>
      <c r="B158" s="3"/>
      <c r="C158" s="3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3"/>
      <c r="B159" s="3"/>
      <c r="C159" s="3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3"/>
      <c r="B160" s="3"/>
      <c r="C160" s="3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3"/>
      <c r="B161" s="3"/>
      <c r="C161" s="3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3"/>
      <c r="B162" s="3"/>
      <c r="C162" s="3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3"/>
      <c r="B163" s="3"/>
      <c r="C163" s="3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3"/>
      <c r="B164" s="3"/>
      <c r="C164" s="3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3"/>
      <c r="B165" s="3"/>
      <c r="C165" s="3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3"/>
      <c r="B166" s="3"/>
      <c r="C166" s="3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3"/>
      <c r="B167" s="3"/>
      <c r="C167" s="3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3"/>
      <c r="B168" s="3"/>
      <c r="C168" s="3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3"/>
      <c r="B169" s="3"/>
      <c r="C169" s="3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3"/>
      <c r="B170" s="3"/>
      <c r="C170" s="3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3"/>
      <c r="B171" s="3"/>
      <c r="C171" s="3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3"/>
      <c r="B172" s="3"/>
      <c r="C172" s="3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3"/>
      <c r="B173" s="3"/>
      <c r="C173" s="3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3"/>
      <c r="B174" s="3"/>
      <c r="C174" s="3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3"/>
      <c r="B175" s="3"/>
      <c r="C175" s="3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3"/>
      <c r="B176" s="3"/>
      <c r="C176" s="3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3"/>
      <c r="B177" s="3"/>
      <c r="C177" s="3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3"/>
      <c r="B178" s="3"/>
      <c r="C178" s="3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3"/>
      <c r="B179" s="3"/>
      <c r="C179" s="3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3"/>
      <c r="B180" s="3"/>
      <c r="C180" s="3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3"/>
      <c r="B181" s="3"/>
      <c r="C181" s="3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3"/>
      <c r="B182" s="3"/>
      <c r="C182" s="3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3"/>
      <c r="B183" s="3"/>
      <c r="C183" s="3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3"/>
      <c r="B184" s="3"/>
      <c r="C184" s="3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3"/>
      <c r="B185" s="3"/>
      <c r="C185" s="3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3"/>
      <c r="B186" s="3"/>
      <c r="C186" s="3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3"/>
      <c r="B187" s="3"/>
      <c r="C187" s="3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3"/>
      <c r="B188" s="3"/>
      <c r="C188" s="3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3"/>
      <c r="B189" s="3"/>
      <c r="C189" s="3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3"/>
      <c r="B190" s="3"/>
      <c r="C190" s="3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3"/>
      <c r="B191" s="3"/>
      <c r="C191" s="3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3"/>
      <c r="B192" s="3"/>
      <c r="C192" s="3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3"/>
      <c r="B193" s="3"/>
      <c r="C193" s="3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3"/>
      <c r="B194" s="3"/>
      <c r="C194" s="3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3"/>
      <c r="B195" s="3"/>
      <c r="C195" s="3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3"/>
      <c r="B196" s="3"/>
      <c r="C196" s="3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3"/>
      <c r="B197" s="3"/>
      <c r="C197" s="3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3"/>
      <c r="B198" s="3"/>
      <c r="C198" s="3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3"/>
      <c r="B199" s="3"/>
      <c r="C199" s="3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3"/>
      <c r="B200" s="3"/>
      <c r="C200" s="3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3"/>
      <c r="B201" s="3"/>
      <c r="C201" s="3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3"/>
      <c r="B202" s="3"/>
      <c r="C202" s="3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3"/>
      <c r="B203" s="3"/>
      <c r="C203" s="3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3"/>
      <c r="B204" s="3"/>
      <c r="C204" s="3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3"/>
      <c r="B205" s="3"/>
      <c r="C205" s="3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3"/>
      <c r="B206" s="3"/>
      <c r="C206" s="3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3"/>
      <c r="B207" s="3"/>
      <c r="C207" s="3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3"/>
      <c r="B208" s="3"/>
      <c r="C208" s="3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3"/>
      <c r="B209" s="3"/>
      <c r="C209" s="3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3"/>
      <c r="B210" s="3"/>
      <c r="C210" s="3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3"/>
      <c r="B211" s="3"/>
      <c r="C211" s="3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3"/>
      <c r="B212" s="3"/>
      <c r="C212" s="3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3"/>
      <c r="B213" s="3"/>
      <c r="C213" s="3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3"/>
      <c r="B214" s="3"/>
      <c r="C214" s="3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3"/>
      <c r="B215" s="3"/>
      <c r="C215" s="3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3"/>
      <c r="B216" s="3"/>
      <c r="C216" s="3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3"/>
      <c r="B217" s="3"/>
      <c r="C217" s="3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3"/>
      <c r="B218" s="3"/>
      <c r="C218" s="3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3"/>
      <c r="B219" s="3"/>
      <c r="C219" s="3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3"/>
      <c r="B220" s="3"/>
      <c r="C220" s="3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3"/>
      <c r="B221" s="3"/>
      <c r="C221" s="3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3"/>
      <c r="B222" s="3"/>
      <c r="C222" s="3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7" min="2" style="0" width="15"/>
    <col collapsed="false" customWidth="true" hidden="false" outlineLevel="0" max="8" min="8" style="0" width="11.14"/>
    <col collapsed="false" customWidth="true" hidden="false" outlineLevel="0" max="9" min="9" style="0" width="11.57"/>
  </cols>
  <sheetData>
    <row r="1" customFormat="false" ht="15" hidden="false" customHeight="true" outlineLevel="0" collapsed="false">
      <c r="A1" s="19" t="s">
        <v>50</v>
      </c>
      <c r="B1" s="19"/>
      <c r="C1" s="19"/>
      <c r="D1" s="19"/>
      <c r="E1" s="19"/>
      <c r="F1" s="19"/>
      <c r="G1" s="19"/>
      <c r="H1" s="19"/>
      <c r="I1" s="19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0" t="s">
        <v>51</v>
      </c>
      <c r="B3" s="3"/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8" t="s">
        <v>52</v>
      </c>
      <c r="B5" s="29" t="n">
        <v>-3</v>
      </c>
      <c r="C5" s="28" t="s">
        <v>53</v>
      </c>
      <c r="D5" s="29" t="n">
        <v>1</v>
      </c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6" t="s">
        <v>54</v>
      </c>
      <c r="B8" s="3"/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1" t="s">
        <v>55</v>
      </c>
      <c r="B10" s="21" t="s">
        <v>56</v>
      </c>
      <c r="C10" s="21" t="s">
        <v>57</v>
      </c>
      <c r="D10" s="21" t="s">
        <v>58</v>
      </c>
      <c r="E10" s="21" t="s">
        <v>59</v>
      </c>
      <c r="F10" s="21" t="s">
        <v>60</v>
      </c>
      <c r="G10" s="21" t="s">
        <v>61</v>
      </c>
      <c r="H10" s="30" t="s">
        <v>62</v>
      </c>
      <c r="I10" s="30" t="s">
        <v>63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31" t="n">
        <v>1</v>
      </c>
      <c r="B11" s="23" t="n">
        <v>1</v>
      </c>
      <c r="C11" s="23" t="n">
        <v>0</v>
      </c>
      <c r="D11" s="24"/>
      <c r="E11" s="24"/>
      <c r="F11" s="24"/>
      <c r="G11" s="24"/>
      <c r="H11" s="25" t="str">
        <f aca="false">IF(ABS(D11-(-2))&lt;0.01,"✓","✗")</f>
        <v>✗</v>
      </c>
      <c r="I11" s="25" t="str">
        <f aca="false">IF(ABS(E11-0.1192)&lt;0.01,"✓","✗")</f>
        <v>✗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31" t="n">
        <v>2</v>
      </c>
      <c r="B12" s="23" t="n">
        <v>2</v>
      </c>
      <c r="C12" s="23" t="n">
        <v>0</v>
      </c>
      <c r="D12" s="24"/>
      <c r="E12" s="24"/>
      <c r="F12" s="24"/>
      <c r="G12" s="24"/>
      <c r="H12" s="25" t="str">
        <f aca="false">IF(ABS(D12-(-1))&lt;0.01,"✓","✗")</f>
        <v>✗</v>
      </c>
      <c r="I12" s="25" t="str">
        <f aca="false">IF(ABS(E12-0.2689)&lt;0.01,"✓","✗")</f>
        <v>✗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31" t="n">
        <v>3</v>
      </c>
      <c r="B13" s="23" t="n">
        <v>3</v>
      </c>
      <c r="C13" s="23" t="n">
        <v>0</v>
      </c>
      <c r="D13" s="24"/>
      <c r="E13" s="24"/>
      <c r="F13" s="24"/>
      <c r="G13" s="24"/>
      <c r="H13" s="25" t="str">
        <f aca="false">IF(ABS(D13-(0))&lt;0.01,"✓","✗")</f>
        <v>✓</v>
      </c>
      <c r="I13" s="25" t="str">
        <f aca="false">IF(ABS(E13-0.5)&lt;0.01,"✓","✗")</f>
        <v>✗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31" t="n">
        <v>4</v>
      </c>
      <c r="B14" s="23" t="n">
        <v>4</v>
      </c>
      <c r="C14" s="23" t="n">
        <v>1</v>
      </c>
      <c r="D14" s="24"/>
      <c r="E14" s="24"/>
      <c r="F14" s="24"/>
      <c r="G14" s="24"/>
      <c r="H14" s="25" t="str">
        <f aca="false">IF(ABS(D14-(1))&lt;0.01,"✓","✗")</f>
        <v>✗</v>
      </c>
      <c r="I14" s="25" t="str">
        <f aca="false">IF(ABS(E14-0.7311)&lt;0.01,"✓","✗")</f>
        <v>✗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31" t="n">
        <v>5</v>
      </c>
      <c r="B15" s="23" t="n">
        <v>5</v>
      </c>
      <c r="C15" s="23" t="n">
        <v>1</v>
      </c>
      <c r="D15" s="24"/>
      <c r="E15" s="24"/>
      <c r="F15" s="24"/>
      <c r="G15" s="24"/>
      <c r="H15" s="25" t="str">
        <f aca="false">IF(ABS(D15-(2))&lt;0.01,"✓","✗")</f>
        <v>✗</v>
      </c>
      <c r="I15" s="25" t="str">
        <f aca="false">IF(ABS(E15-0.8808)&lt;0.01,"✓","✗")</f>
        <v>✗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31" t="n">
        <v>6</v>
      </c>
      <c r="B16" s="23" t="n">
        <v>6</v>
      </c>
      <c r="C16" s="23" t="n">
        <v>1</v>
      </c>
      <c r="D16" s="24"/>
      <c r="E16" s="24"/>
      <c r="F16" s="24"/>
      <c r="G16" s="24"/>
      <c r="H16" s="25" t="str">
        <f aca="false">IF(ABS(D16-(3))&lt;0.01,"✓","✗")</f>
        <v>✗</v>
      </c>
      <c r="I16" s="25" t="str">
        <f aca="false">IF(ABS(E16-0.9526)&lt;0.01,"✓","✗")</f>
        <v>✗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20" t="s">
        <v>64</v>
      </c>
      <c r="B19" s="3"/>
      <c r="C19" s="3"/>
      <c r="D19" s="3"/>
      <c r="E19" s="3"/>
      <c r="F19" s="3"/>
      <c r="G19" s="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3" t="s">
        <v>65</v>
      </c>
      <c r="B21" s="32"/>
      <c r="C21" s="3"/>
      <c r="D21" s="3"/>
      <c r="E21" s="3"/>
      <c r="F21" s="3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3" t="s">
        <v>66</v>
      </c>
      <c r="B22" s="33" t="n">
        <v>6</v>
      </c>
      <c r="C22" s="3"/>
      <c r="D22" s="3"/>
      <c r="E22" s="3"/>
      <c r="F22" s="3"/>
      <c r="G22" s="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3" t="s">
        <v>67</v>
      </c>
      <c r="B23" s="32"/>
      <c r="C23" s="3"/>
      <c r="D23" s="3"/>
      <c r="E23" s="3"/>
      <c r="F23" s="3"/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0.71"/>
    <col collapsed="false" customWidth="true" hidden="false" outlineLevel="0" max="3" min="3" style="0" width="45"/>
    <col collapsed="false" customWidth="true" hidden="false" outlineLevel="0" max="6" min="4" style="0" width="8.71"/>
  </cols>
  <sheetData>
    <row r="1" customFormat="false" ht="15" hidden="false" customHeight="true" outlineLevel="0" collapsed="false">
      <c r="A1" s="19" t="s">
        <v>68</v>
      </c>
      <c r="B1" s="19"/>
      <c r="C1" s="19"/>
      <c r="D1" s="19"/>
      <c r="E1" s="19"/>
      <c r="F1" s="1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true" outlineLevel="0" collapsed="false">
      <c r="A3" s="20" t="s">
        <v>69</v>
      </c>
      <c r="B3" s="3"/>
      <c r="C3" s="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/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12" t="s">
        <v>70</v>
      </c>
      <c r="B5" s="3"/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3"/>
      <c r="B6" s="3"/>
      <c r="C6" s="3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3"/>
      <c r="B7" s="3"/>
      <c r="C7" s="3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8" t="s">
        <v>71</v>
      </c>
      <c r="B8" s="29" t="n">
        <v>1</v>
      </c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3"/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8" t="s">
        <v>72</v>
      </c>
      <c r="B10" s="34"/>
      <c r="C10" s="3" t="str">
        <f aca="false">IF(ABS(B10-2.7183)&lt;0.01,"✓","✗")</f>
        <v>✗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3"/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"/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0" t="s">
        <v>73</v>
      </c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3"/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3" t="s">
        <v>74</v>
      </c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3" t="s">
        <v>75</v>
      </c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3" t="s">
        <v>76</v>
      </c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3"/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3"/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3" t="s">
        <v>77</v>
      </c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3" t="s">
        <v>78</v>
      </c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3" t="s">
        <v>79</v>
      </c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3"/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3"/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3"/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3"/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3"/>
      <c r="B27" s="3"/>
      <c r="C27" s="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3"/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3"/>
      <c r="B29" s="3"/>
      <c r="C29" s="3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3"/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3"/>
      <c r="B31" s="3"/>
      <c r="C31" s="3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3"/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3"/>
      <c r="B33" s="3"/>
      <c r="C33" s="3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3"/>
      <c r="B34" s="3"/>
      <c r="C34" s="3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3"/>
      <c r="B35" s="3"/>
      <c r="C35" s="3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3"/>
      <c r="B36" s="3"/>
      <c r="C36" s="3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3"/>
      <c r="B37" s="3"/>
      <c r="C37" s="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3"/>
      <c r="B38" s="3"/>
      <c r="C38" s="3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3"/>
      <c r="B39" s="3"/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"/>
      <c r="B40" s="3"/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"/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3"/>
      <c r="B42" s="3"/>
      <c r="C42" s="3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"/>
      <c r="B43" s="3"/>
      <c r="C43" s="3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3"/>
      <c r="B44" s="3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3"/>
      <c r="B45" s="3"/>
      <c r="C45" s="3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3"/>
      <c r="B46" s="3"/>
      <c r="C46" s="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3"/>
      <c r="B47" s="3"/>
      <c r="C47" s="3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"/>
      <c r="B48" s="3"/>
      <c r="C48" s="3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3"/>
      <c r="B49" s="3"/>
      <c r="C49" s="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3"/>
      <c r="B50" s="3"/>
      <c r="C50" s="3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3"/>
      <c r="B51" s="3"/>
      <c r="C51" s="3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3"/>
      <c r="B52" s="3"/>
      <c r="C52" s="3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3"/>
      <c r="B53" s="3"/>
      <c r="C53" s="3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3"/>
      <c r="B54" s="3"/>
      <c r="C54" s="3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3"/>
      <c r="B55" s="3"/>
      <c r="C55" s="3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3"/>
      <c r="B56" s="3"/>
      <c r="C56" s="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3"/>
      <c r="B57" s="3"/>
      <c r="C57" s="3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3"/>
      <c r="B58" s="3"/>
      <c r="C58" s="3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3"/>
      <c r="B59" s="3"/>
      <c r="C59" s="3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3"/>
      <c r="B60" s="3"/>
      <c r="C60" s="3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"/>
      <c r="B61" s="3"/>
      <c r="C61" s="3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3"/>
      <c r="B62" s="3"/>
      <c r="C62" s="3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3"/>
      <c r="B63" s="3"/>
      <c r="C63" s="3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3"/>
      <c r="B64" s="3"/>
      <c r="C64" s="3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3"/>
      <c r="B65" s="3"/>
      <c r="C65" s="3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3"/>
      <c r="B66" s="3"/>
      <c r="C66" s="3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3"/>
      <c r="B67" s="3"/>
      <c r="C67" s="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3"/>
      <c r="B68" s="3"/>
      <c r="C68" s="3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3"/>
      <c r="B69" s="3"/>
      <c r="C69" s="3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3"/>
      <c r="B70" s="3"/>
      <c r="C70" s="3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3"/>
      <c r="B71" s="3"/>
      <c r="C71" s="3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3"/>
      <c r="B72" s="3"/>
      <c r="C72" s="3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3"/>
      <c r="B73" s="3"/>
      <c r="C73" s="3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3"/>
      <c r="B74" s="3"/>
      <c r="C74" s="3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3"/>
      <c r="B75" s="3"/>
      <c r="C75" s="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3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3"/>
      <c r="B77" s="3"/>
      <c r="C77" s="3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3"/>
      <c r="B78" s="3"/>
      <c r="C78" s="3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3"/>
      <c r="B79" s="3"/>
      <c r="C79" s="3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3"/>
      <c r="B80" s="3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3"/>
      <c r="B81" s="3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3"/>
      <c r="B82" s="3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3"/>
      <c r="B83" s="3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3"/>
      <c r="B84" s="3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3"/>
      <c r="B85" s="3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3"/>
      <c r="B86" s="3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3"/>
      <c r="B87" s="3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3"/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3"/>
      <c r="B89" s="3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3"/>
      <c r="B90" s="3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3"/>
      <c r="B91" s="3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3"/>
      <c r="B92" s="3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3"/>
      <c r="B93" s="3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3"/>
      <c r="B94" s="3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3"/>
      <c r="B95" s="3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3"/>
      <c r="B96" s="3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3"/>
      <c r="B97" s="3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3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3"/>
      <c r="B99" s="3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3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3"/>
      <c r="B101" s="3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3"/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3"/>
      <c r="B103" s="3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3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3"/>
      <c r="B105" s="3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3"/>
      <c r="B106" s="3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3"/>
      <c r="B107" s="3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3"/>
      <c r="B108" s="3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3"/>
      <c r="B109" s="3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3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3"/>
      <c r="B111" s="3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3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3"/>
      <c r="B113" s="3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3"/>
      <c r="B114" s="3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3"/>
      <c r="B115" s="3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3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3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3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3"/>
      <c r="B119" s="3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3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3"/>
      <c r="B121" s="3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3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3"/>
      <c r="B123" s="3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3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3"/>
      <c r="B125" s="3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3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3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3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3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3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3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3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3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3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3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3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3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3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3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3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3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3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3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3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3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3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3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3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3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3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3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3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3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3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3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3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3"/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3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3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3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3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3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3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3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3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3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3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3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3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3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3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3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3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3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3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3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3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3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3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3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3"/>
      <c r="B181" s="3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3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3"/>
      <c r="B183" s="3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3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3"/>
      <c r="B185" s="3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3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3"/>
      <c r="B187" s="3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3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3"/>
      <c r="B189" s="3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3"/>
      <c r="B190" s="3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3"/>
      <c r="B191" s="3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3"/>
      <c r="B192" s="3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3"/>
      <c r="B193" s="3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3"/>
      <c r="B194" s="3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3"/>
      <c r="B195" s="3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3"/>
      <c r="B196" s="3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3"/>
      <c r="B197" s="3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3"/>
      <c r="B198" s="3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3"/>
      <c r="B199" s="3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3"/>
      <c r="B200" s="3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3"/>
      <c r="B201" s="3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3"/>
      <c r="B202" s="3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3"/>
      <c r="B203" s="3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3"/>
      <c r="B204" s="3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3"/>
      <c r="B205" s="3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3"/>
      <c r="B206" s="3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3"/>
      <c r="B207" s="3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3"/>
      <c r="B208" s="3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3"/>
      <c r="B209" s="3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3"/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3"/>
      <c r="B211" s="3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3"/>
      <c r="B212" s="3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3"/>
      <c r="B213" s="3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3"/>
      <c r="B214" s="3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3"/>
      <c r="B215" s="3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3"/>
      <c r="B216" s="3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3"/>
      <c r="B217" s="3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3"/>
      <c r="B218" s="3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3"/>
      <c r="B219" s="3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3"/>
      <c r="B220" s="3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3"/>
      <c r="B221" s="3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3"/>
      <c r="B222" s="3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3" min="1" style="0" width="8.71"/>
    <col collapsed="false" customWidth="true" hidden="false" outlineLevel="0" max="4" min="4" style="0" width="12.29"/>
    <col collapsed="false" customWidth="true" hidden="false" outlineLevel="0" max="5" min="5" style="0" width="11.85"/>
    <col collapsed="false" customWidth="true" hidden="false" outlineLevel="0" max="6" min="6" style="0" width="20.29"/>
    <col collapsed="false" customWidth="true" hidden="false" outlineLevel="0" max="7" min="7" style="0" width="16.43"/>
    <col collapsed="false" customWidth="true" hidden="false" outlineLevel="0" max="8" min="8" style="0" width="8.71"/>
  </cols>
  <sheetData>
    <row r="1" customFormat="false" ht="15" hidden="false" customHeight="true" outlineLevel="0" collapsed="false">
      <c r="A1" s="35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25" hidden="false" customHeight="true" outlineLevel="0" collapsed="false">
      <c r="A3" s="36" t="s">
        <v>81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37" t="s">
        <v>82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38" t="s">
        <v>83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3" t="s">
        <v>84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3" t="s">
        <v>85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3" t="s">
        <v>86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3" t="s">
        <v>87</v>
      </c>
      <c r="B14" s="3" t="s">
        <v>88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3" t="s">
        <v>89</v>
      </c>
      <c r="B15" s="3" t="s">
        <v>90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38" t="s">
        <v>91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3" t="s">
        <v>92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7" t="s">
        <v>55</v>
      </c>
      <c r="B23" s="27" t="s">
        <v>56</v>
      </c>
      <c r="C23" s="27" t="s">
        <v>93</v>
      </c>
      <c r="D23" s="27" t="s">
        <v>94</v>
      </c>
      <c r="E23" s="27" t="s">
        <v>95</v>
      </c>
      <c r="F23" s="27" t="s">
        <v>96</v>
      </c>
      <c r="G23" s="27" t="s">
        <v>97</v>
      </c>
      <c r="H23" s="27" t="s">
        <v>43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39" t="n">
        <v>1</v>
      </c>
      <c r="B24" s="29" t="n">
        <v>1</v>
      </c>
      <c r="C24" s="29" t="n">
        <v>0</v>
      </c>
      <c r="D24" s="29" t="n">
        <v>0.1192</v>
      </c>
      <c r="E24" s="32"/>
      <c r="F24" s="32"/>
      <c r="G24" s="32"/>
      <c r="H24" s="25" t="str">
        <f aca="false">IF(ABS(G24-(-0.1269))&lt;0.01,"✓","✗")</f>
        <v>✗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39" t="n">
        <v>2</v>
      </c>
      <c r="B25" s="29" t="n">
        <v>2</v>
      </c>
      <c r="C25" s="29" t="n">
        <v>0</v>
      </c>
      <c r="D25" s="29" t="n">
        <v>0.2689</v>
      </c>
      <c r="E25" s="32"/>
      <c r="F25" s="32"/>
      <c r="G25" s="32"/>
      <c r="H25" s="25" t="str">
        <f aca="false">IF(ABS(G25-(-0.3132))&lt;0.01,"✓","✗")</f>
        <v>✗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39" t="n">
        <v>3</v>
      </c>
      <c r="B26" s="29" t="n">
        <v>3</v>
      </c>
      <c r="C26" s="29" t="n">
        <v>0</v>
      </c>
      <c r="D26" s="29" t="n">
        <v>0.5</v>
      </c>
      <c r="E26" s="32"/>
      <c r="F26" s="32"/>
      <c r="G26" s="32"/>
      <c r="H26" s="25" t="str">
        <f aca="false">IF(ABS(G26-(-0.6931))&lt;0.01,"✓","✗")</f>
        <v>✗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39" t="n">
        <v>4</v>
      </c>
      <c r="B27" s="29" t="n">
        <v>4</v>
      </c>
      <c r="C27" s="29" t="n">
        <v>1</v>
      </c>
      <c r="D27" s="29" t="n">
        <v>0.7311</v>
      </c>
      <c r="E27" s="32"/>
      <c r="F27" s="32"/>
      <c r="G27" s="32"/>
      <c r="H27" s="25" t="str">
        <f aca="false">IF(ABS(G27-(-0.3132))&lt;0.01,"✓","✗")</f>
        <v>✗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39" t="n">
        <v>5</v>
      </c>
      <c r="B28" s="29" t="n">
        <v>5</v>
      </c>
      <c r="C28" s="29" t="n">
        <v>1</v>
      </c>
      <c r="D28" s="29" t="n">
        <v>0.8808</v>
      </c>
      <c r="E28" s="32"/>
      <c r="F28" s="32"/>
      <c r="G28" s="32"/>
      <c r="H28" s="25" t="str">
        <f aca="false">IF(ABS(G28-(-0.1269))&lt;0.01,"✓","✗")</f>
        <v>✗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39" t="n">
        <v>6</v>
      </c>
      <c r="B29" s="29" t="n">
        <v>6</v>
      </c>
      <c r="C29" s="29" t="n">
        <v>1</v>
      </c>
      <c r="D29" s="29" t="n">
        <v>0.9526</v>
      </c>
      <c r="E29" s="32"/>
      <c r="F29" s="32"/>
      <c r="G29" s="32"/>
      <c r="H29" s="25" t="str">
        <f aca="false">IF(ABS(G29-(-0.0486))&lt;0.01,"✓","✗")</f>
        <v>✗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38" t="s">
        <v>98</v>
      </c>
      <c r="B30" s="2"/>
      <c r="C30" s="2"/>
      <c r="D30" s="2"/>
      <c r="E30" s="2"/>
      <c r="F30" s="40" t="s">
        <v>99</v>
      </c>
      <c r="G30" s="34"/>
      <c r="H30" s="25" t="str">
        <f aca="false">IF(ABS(G30-(-1.622))&lt;0.01,"✓","✗")</f>
        <v>✗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38" t="s">
        <v>73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3" t="s">
        <v>100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3" t="s">
        <v>101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3" t="s">
        <v>102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38" t="s">
        <v>103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3" t="s">
        <v>104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4.14"/>
    <col collapsed="false" customWidth="true" hidden="false" outlineLevel="0" max="6" min="6" style="0" width="12.29"/>
  </cols>
  <sheetData>
    <row r="1" customFormat="false" ht="15" hidden="false" customHeight="false" outlineLevel="0" collapsed="false">
      <c r="A1" s="41" t="s">
        <v>105</v>
      </c>
      <c r="B1" s="41"/>
      <c r="C1" s="41"/>
      <c r="D1" s="41"/>
      <c r="E1" s="41"/>
      <c r="F1" s="4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35" hidden="false" customHeight="false" outlineLevel="0" collapsed="false">
      <c r="A3" s="42" t="s">
        <v>106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43" t="s">
        <v>107</v>
      </c>
      <c r="B5" s="43"/>
      <c r="C5" s="43"/>
      <c r="D5" s="43"/>
      <c r="E5" s="43"/>
      <c r="F5" s="4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3" t="s">
        <v>108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44" t="s">
        <v>55</v>
      </c>
      <c r="B9" s="44" t="s">
        <v>109</v>
      </c>
      <c r="C9" s="44" t="s">
        <v>110</v>
      </c>
      <c r="D9" s="44" t="s">
        <v>111</v>
      </c>
      <c r="E9" s="44" t="s">
        <v>112</v>
      </c>
      <c r="F9" s="44" t="s">
        <v>43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31" t="n">
        <v>1</v>
      </c>
      <c r="B10" s="23" t="n">
        <v>0</v>
      </c>
      <c r="C10" s="23" t="n">
        <v>0.12</v>
      </c>
      <c r="D10" s="23" t="n">
        <v>0.5</v>
      </c>
      <c r="E10" s="24"/>
      <c r="F10" s="45" t="str">
        <f aca="false">IF(E10=0,"✓","✗")</f>
        <v>✓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31" t="n">
        <v>2</v>
      </c>
      <c r="B11" s="23" t="n">
        <v>0</v>
      </c>
      <c r="C11" s="23" t="n">
        <v>0.27</v>
      </c>
      <c r="D11" s="23" t="n">
        <v>0.5</v>
      </c>
      <c r="E11" s="24"/>
      <c r="F11" s="45" t="str">
        <f aca="false">IF(E11=0,"✓","✗")</f>
        <v>✓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1" t="n">
        <v>3</v>
      </c>
      <c r="B12" s="23" t="n">
        <v>0</v>
      </c>
      <c r="C12" s="23" t="n">
        <v>0.35</v>
      </c>
      <c r="D12" s="23" t="n">
        <v>0.5</v>
      </c>
      <c r="E12" s="24"/>
      <c r="F12" s="45" t="str">
        <f aca="false">IF(E12=0,"✓","✗")</f>
        <v>✓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31" t="n">
        <v>4</v>
      </c>
      <c r="B13" s="23" t="n">
        <v>0</v>
      </c>
      <c r="C13" s="23" t="n">
        <v>0.48</v>
      </c>
      <c r="D13" s="23" t="n">
        <v>0.5</v>
      </c>
      <c r="E13" s="24"/>
      <c r="F13" s="45" t="str">
        <f aca="false">IF(E13=0,"✓","✗")</f>
        <v>✓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31" t="n">
        <v>5</v>
      </c>
      <c r="B14" s="23" t="n">
        <v>0</v>
      </c>
      <c r="C14" s="23" t="n">
        <v>0.55</v>
      </c>
      <c r="D14" s="23" t="n">
        <v>0.5</v>
      </c>
      <c r="E14" s="24"/>
      <c r="F14" s="45" t="str">
        <f aca="false">IF(E14=1,"✓","✗")</f>
        <v>✗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31" t="n">
        <v>6</v>
      </c>
      <c r="B15" s="23" t="n">
        <v>0</v>
      </c>
      <c r="C15" s="23" t="n">
        <v>0.08</v>
      </c>
      <c r="D15" s="23" t="n">
        <v>0.5</v>
      </c>
      <c r="E15" s="24"/>
      <c r="F15" s="45" t="str">
        <f aca="false">IF(E15=0,"✓","✗")</f>
        <v>✓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31" t="n">
        <v>7</v>
      </c>
      <c r="B16" s="23" t="n">
        <v>1</v>
      </c>
      <c r="C16" s="23" t="n">
        <v>0.73</v>
      </c>
      <c r="D16" s="23" t="n">
        <v>0.5</v>
      </c>
      <c r="E16" s="24"/>
      <c r="F16" s="45" t="str">
        <f aca="false">IF(E16=1,"✓","✗")</f>
        <v>✗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31" t="n">
        <v>8</v>
      </c>
      <c r="B17" s="23" t="n">
        <v>1</v>
      </c>
      <c r="C17" s="23" t="n">
        <v>0.88</v>
      </c>
      <c r="D17" s="23" t="n">
        <v>0.5</v>
      </c>
      <c r="E17" s="24"/>
      <c r="F17" s="45" t="str">
        <f aca="false">IF(E17=1,"✓","✗")</f>
        <v>✗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31" t="n">
        <v>9</v>
      </c>
      <c r="B18" s="23" t="n">
        <v>1</v>
      </c>
      <c r="C18" s="23" t="n">
        <v>0.95</v>
      </c>
      <c r="D18" s="23" t="n">
        <v>0.5</v>
      </c>
      <c r="E18" s="24"/>
      <c r="F18" s="45" t="str">
        <f aca="false">IF(E18=1,"✓","✗")</f>
        <v>✗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31" t="n">
        <v>10</v>
      </c>
      <c r="B19" s="23" t="n">
        <v>1</v>
      </c>
      <c r="C19" s="23" t="n">
        <v>0.42</v>
      </c>
      <c r="D19" s="23" t="n">
        <v>0.5</v>
      </c>
      <c r="E19" s="24"/>
      <c r="F19" s="45" t="str">
        <f aca="false">IF(E19=0,"✓","✗")</f>
        <v>✓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31" t="n">
        <v>11</v>
      </c>
      <c r="B20" s="23" t="n">
        <v>1</v>
      </c>
      <c r="C20" s="23" t="n">
        <v>0.67</v>
      </c>
      <c r="D20" s="23" t="n">
        <v>0.5</v>
      </c>
      <c r="E20" s="24"/>
      <c r="F20" s="45" t="str">
        <f aca="false">IF(E20=1,"✓","✗")</f>
        <v>✗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31" t="n">
        <v>12</v>
      </c>
      <c r="B21" s="23" t="n">
        <v>1</v>
      </c>
      <c r="C21" s="23" t="n">
        <v>0.82</v>
      </c>
      <c r="D21" s="23" t="n">
        <v>0.5</v>
      </c>
      <c r="E21" s="24"/>
      <c r="F21" s="45" t="str">
        <f aca="false">IF(E21=1,"✓","✗")</f>
        <v>✗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46" t="s">
        <v>113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43" t="s">
        <v>114</v>
      </c>
      <c r="B25" s="43"/>
      <c r="C25" s="43"/>
      <c r="D25" s="43"/>
      <c r="E25" s="4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3" t="s">
        <v>115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47"/>
      <c r="B29" s="48"/>
      <c r="C29" s="49" t="s">
        <v>116</v>
      </c>
      <c r="D29" s="49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50"/>
      <c r="B30" s="51"/>
      <c r="C30" s="44" t="s">
        <v>117</v>
      </c>
      <c r="D30" s="44" t="s">
        <v>118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52" t="s">
        <v>119</v>
      </c>
      <c r="B31" s="44" t="s">
        <v>120</v>
      </c>
      <c r="C31" s="24"/>
      <c r="D31" s="24"/>
      <c r="E31" s="53" t="s">
        <v>121</v>
      </c>
      <c r="F31" s="54" t="str">
        <f aca="false">IF(AND(C31=5,D31=1),"✓","✗")</f>
        <v>✗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52"/>
      <c r="B32" s="44" t="s">
        <v>122</v>
      </c>
      <c r="C32" s="24"/>
      <c r="D32" s="24"/>
      <c r="E32" s="53" t="s">
        <v>123</v>
      </c>
      <c r="F32" s="54" t="str">
        <f aca="false">IF(AND(C32=1,D32=5),"✓","✗")</f>
        <v>✗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43" t="s">
        <v>124</v>
      </c>
      <c r="B35" s="43"/>
      <c r="C35" s="43"/>
      <c r="D35" s="43"/>
      <c r="E35" s="43"/>
      <c r="F35" s="4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3" t="s">
        <v>125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44" t="s">
        <v>126</v>
      </c>
      <c r="B39" s="44" t="s">
        <v>127</v>
      </c>
      <c r="C39" s="55" t="s">
        <v>128</v>
      </c>
      <c r="D39" s="5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39" t="s">
        <v>129</v>
      </c>
      <c r="B40" s="31" t="s">
        <v>130</v>
      </c>
      <c r="C40" s="57"/>
      <c r="D40" s="58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9" t="s">
        <v>131</v>
      </c>
      <c r="B41" s="31" t="s">
        <v>27</v>
      </c>
      <c r="C41" s="57"/>
      <c r="D41" s="58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39" t="s">
        <v>132</v>
      </c>
      <c r="B42" s="31" t="s">
        <v>133</v>
      </c>
      <c r="C42" s="57"/>
      <c r="D42" s="58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9" t="s">
        <v>134</v>
      </c>
      <c r="B43" s="31" t="s">
        <v>135</v>
      </c>
      <c r="C43" s="57"/>
      <c r="D43" s="58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43" t="s">
        <v>136</v>
      </c>
      <c r="B46" s="43"/>
      <c r="C46" s="43"/>
      <c r="D46" s="43"/>
      <c r="E46" s="43"/>
      <c r="F46" s="4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" t="s">
        <v>137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59" t="s">
        <v>138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44" t="s">
        <v>139</v>
      </c>
      <c r="C51" s="44" t="s">
        <v>140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60" t="s">
        <v>141</v>
      </c>
      <c r="B52" s="61"/>
      <c r="C52" s="61"/>
      <c r="D52" s="3" t="str">
        <f aca="false">IF(AND(B52=3,C52=3),"✓","✗")</f>
        <v>✗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60" t="s">
        <v>142</v>
      </c>
      <c r="B53" s="61"/>
      <c r="C53" s="61"/>
      <c r="D53" s="3" t="str">
        <f aca="false">IF(AND(B53=0,C53=6),"✓","✗")</f>
        <v>✗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59" t="s">
        <v>143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44" t="s">
        <v>139</v>
      </c>
      <c r="C56" s="44" t="s">
        <v>140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60" t="s">
        <v>141</v>
      </c>
      <c r="B57" s="61"/>
      <c r="C57" s="61"/>
      <c r="D57" s="3" t="str">
        <f aca="false">IF(AND(B57=6,C57=0),"✓","✗")</f>
        <v>✗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60" t="s">
        <v>142</v>
      </c>
      <c r="B58" s="61"/>
      <c r="C58" s="61"/>
      <c r="D58" s="3" t="str">
        <f aca="false">IF(AND(B58=2,C58=4),"✓","✗")</f>
        <v>✗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59" t="s">
        <v>73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" t="s">
        <v>144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3" t="s">
        <v>145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A1:F1"/>
    <mergeCell ref="A5:F5"/>
    <mergeCell ref="A25:E25"/>
    <mergeCell ref="C29:D29"/>
    <mergeCell ref="A31:A32"/>
    <mergeCell ref="A35:F35"/>
    <mergeCell ref="A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.71"/>
    <col collapsed="false" customWidth="true" hidden="false" outlineLevel="0" max="3" min="3" style="0" width="17.71"/>
    <col collapsed="false" customWidth="true" hidden="false" outlineLevel="0" max="5" min="4" style="0" width="15"/>
    <col collapsed="false" customWidth="true" hidden="false" outlineLevel="0" max="6" min="6" style="0" width="21.57"/>
    <col collapsed="false" customWidth="true" hidden="false" outlineLevel="0" max="9" min="7" style="0" width="12"/>
  </cols>
  <sheetData>
    <row r="1" customFormat="false" ht="15" hidden="false" customHeight="false" outlineLevel="0" collapsed="false">
      <c r="A1" s="41" t="s">
        <v>146</v>
      </c>
      <c r="B1" s="41"/>
      <c r="C1" s="41"/>
      <c r="D1" s="41"/>
      <c r="E1" s="41"/>
      <c r="F1" s="41"/>
      <c r="G1" s="41"/>
      <c r="H1" s="41"/>
      <c r="I1" s="4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35" hidden="false" customHeight="false" outlineLevel="0" collapsed="false">
      <c r="A3" s="42" t="s">
        <v>147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43" t="s">
        <v>148</v>
      </c>
      <c r="B5" s="43"/>
      <c r="C5" s="43"/>
      <c r="D5" s="43"/>
      <c r="E5" s="43"/>
      <c r="F5" s="43"/>
      <c r="G5" s="4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false" outlineLevel="0" collapsed="false">
      <c r="A7" s="44" t="s">
        <v>149</v>
      </c>
      <c r="B7" s="44" t="s">
        <v>55</v>
      </c>
      <c r="C7" s="44" t="s">
        <v>109</v>
      </c>
      <c r="D7" s="44" t="s">
        <v>150</v>
      </c>
      <c r="E7" s="44" t="s">
        <v>151</v>
      </c>
      <c r="F7" s="44" t="s">
        <v>152</v>
      </c>
      <c r="G7" s="44" t="s">
        <v>153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false" outlineLevel="0" collapsed="false">
      <c r="A8" s="31" t="n">
        <v>1</v>
      </c>
      <c r="B8" s="31" t="n">
        <v>9</v>
      </c>
      <c r="C8" s="23" t="n">
        <v>1</v>
      </c>
      <c r="D8" s="23" t="n">
        <v>0.95</v>
      </c>
      <c r="E8" s="23" t="n">
        <v>0.95</v>
      </c>
      <c r="F8" s="62" t="s">
        <v>154</v>
      </c>
      <c r="G8" s="45" t="str">
        <f aca="false">IF(D8&gt;=D9,"✓","✗")</f>
        <v>✓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false" outlineLevel="0" collapsed="false">
      <c r="A9" s="31" t="n">
        <v>2</v>
      </c>
      <c r="B9" s="31" t="n">
        <v>8</v>
      </c>
      <c r="C9" s="23" t="n">
        <v>1</v>
      </c>
      <c r="D9" s="23" t="n">
        <v>0.88</v>
      </c>
      <c r="E9" s="23" t="n">
        <v>0.88</v>
      </c>
      <c r="F9" s="62" t="s">
        <v>155</v>
      </c>
      <c r="G9" s="45" t="str">
        <f aca="false">IF(D9&lt;=D8,"✓","✗")</f>
        <v>✓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false" outlineLevel="0" collapsed="false">
      <c r="A10" s="31" t="n">
        <v>3</v>
      </c>
      <c r="B10" s="31" t="n">
        <v>12</v>
      </c>
      <c r="C10" s="23" t="n">
        <v>1</v>
      </c>
      <c r="D10" s="23" t="n">
        <v>0.82</v>
      </c>
      <c r="E10" s="23" t="n">
        <v>0.82</v>
      </c>
      <c r="F10" s="62" t="s">
        <v>155</v>
      </c>
      <c r="G10" s="45" t="str">
        <f aca="false">IF(D10&lt;=D9,"✓","✗")</f>
        <v>✓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false" outlineLevel="0" collapsed="false">
      <c r="A11" s="31" t="n">
        <v>4</v>
      </c>
      <c r="B11" s="31" t="n">
        <v>7</v>
      </c>
      <c r="C11" s="23" t="n">
        <v>1</v>
      </c>
      <c r="D11" s="23" t="n">
        <v>0.73</v>
      </c>
      <c r="E11" s="23" t="n">
        <v>0.73</v>
      </c>
      <c r="F11" s="62" t="s">
        <v>155</v>
      </c>
      <c r="G11" s="45" t="str">
        <f aca="false">IF(D11&lt;=D10,"✓","✗")</f>
        <v>✓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false" outlineLevel="0" collapsed="false">
      <c r="A12" s="31" t="n">
        <v>5</v>
      </c>
      <c r="B12" s="31" t="n">
        <v>11</v>
      </c>
      <c r="C12" s="23" t="n">
        <v>1</v>
      </c>
      <c r="D12" s="23" t="n">
        <v>0.67</v>
      </c>
      <c r="E12" s="23" t="n">
        <v>0.67</v>
      </c>
      <c r="F12" s="62" t="s">
        <v>155</v>
      </c>
      <c r="G12" s="45" t="str">
        <f aca="false">IF(D12&lt;=D11,"✓","✗")</f>
        <v>✓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31" t="n">
        <v>6</v>
      </c>
      <c r="B13" s="31" t="n">
        <v>5</v>
      </c>
      <c r="C13" s="23" t="n">
        <v>0</v>
      </c>
      <c r="D13" s="23" t="n">
        <v>0.55</v>
      </c>
      <c r="E13" s="23" t="n">
        <v>0.55</v>
      </c>
      <c r="F13" s="62" t="s">
        <v>156</v>
      </c>
      <c r="G13" s="45" t="str">
        <f aca="false">IF(D13&lt;=D12,"✓","✗")</f>
        <v>✓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31" t="n">
        <v>7</v>
      </c>
      <c r="B14" s="31" t="n">
        <v>4</v>
      </c>
      <c r="C14" s="23" t="n">
        <v>0</v>
      </c>
      <c r="D14" s="23" t="n">
        <v>0.48</v>
      </c>
      <c r="E14" s="23" t="n">
        <v>0.48</v>
      </c>
      <c r="F14" s="62" t="s">
        <v>157</v>
      </c>
      <c r="G14" s="45" t="str">
        <f aca="false">IF(D14&lt;=D13,"✓","✗")</f>
        <v>✓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false" outlineLevel="0" collapsed="false">
      <c r="A15" s="31" t="n">
        <v>8</v>
      </c>
      <c r="B15" s="31" t="n">
        <v>10</v>
      </c>
      <c r="C15" s="23" t="n">
        <v>1</v>
      </c>
      <c r="D15" s="23" t="n">
        <v>0.42</v>
      </c>
      <c r="E15" s="23" t="n">
        <v>0.42</v>
      </c>
      <c r="F15" s="62" t="s">
        <v>158</v>
      </c>
      <c r="G15" s="45" t="str">
        <f aca="false">IF(D15&lt;=D14,"✓","✗")</f>
        <v>✓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31" t="n">
        <v>9</v>
      </c>
      <c r="B16" s="31" t="n">
        <v>3</v>
      </c>
      <c r="C16" s="23" t="n">
        <v>0</v>
      </c>
      <c r="D16" s="23" t="n">
        <v>0.35</v>
      </c>
      <c r="E16" s="23" t="n">
        <v>0.35</v>
      </c>
      <c r="F16" s="62" t="s">
        <v>157</v>
      </c>
      <c r="G16" s="45" t="str">
        <f aca="false">IF(D16&lt;=D15,"✓","✗")</f>
        <v>✓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false" outlineLevel="0" collapsed="false">
      <c r="A17" s="31" t="n">
        <v>10</v>
      </c>
      <c r="B17" s="31" t="n">
        <v>2</v>
      </c>
      <c r="C17" s="23" t="n">
        <v>0</v>
      </c>
      <c r="D17" s="23" t="n">
        <v>0.27</v>
      </c>
      <c r="E17" s="23" t="n">
        <v>0.27</v>
      </c>
      <c r="F17" s="62" t="s">
        <v>157</v>
      </c>
      <c r="G17" s="45" t="str">
        <f aca="false">IF(D17&lt;=D16,"✓","✗")</f>
        <v>✓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false" outlineLevel="0" collapsed="false">
      <c r="A18" s="31" t="n">
        <v>11</v>
      </c>
      <c r="B18" s="31" t="n">
        <v>1</v>
      </c>
      <c r="C18" s="23" t="n">
        <v>0</v>
      </c>
      <c r="D18" s="23" t="n">
        <v>0.12</v>
      </c>
      <c r="E18" s="23" t="n">
        <v>0.12</v>
      </c>
      <c r="F18" s="62" t="s">
        <v>157</v>
      </c>
      <c r="G18" s="45" t="str">
        <f aca="false">IF(D18&lt;=D17,"✓","✗")</f>
        <v>✓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false" outlineLevel="0" collapsed="false">
      <c r="A19" s="31" t="n">
        <v>12</v>
      </c>
      <c r="B19" s="31" t="n">
        <v>6</v>
      </c>
      <c r="C19" s="23" t="n">
        <v>0</v>
      </c>
      <c r="D19" s="23" t="n">
        <v>0.08</v>
      </c>
      <c r="E19" s="23" t="n">
        <v>0.08</v>
      </c>
      <c r="F19" s="62" t="s">
        <v>159</v>
      </c>
      <c r="G19" s="45" t="str">
        <f aca="false">IF(D19&lt;=D18,"✓","✗")</f>
        <v>✓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true" outlineLevel="0" collapsed="false">
      <c r="A22" s="43" t="s">
        <v>160</v>
      </c>
      <c r="B22" s="43"/>
      <c r="C22" s="43"/>
      <c r="D22" s="43"/>
      <c r="E22" s="43"/>
      <c r="F22" s="43"/>
      <c r="G22" s="43"/>
      <c r="H22" s="43"/>
      <c r="I22" s="4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59" t="s">
        <v>11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true" outlineLevel="0" collapsed="false">
      <c r="A25" s="2"/>
      <c r="B25" s="63" t="s">
        <v>161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2"/>
      <c r="B26" s="63" t="s">
        <v>162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true" outlineLevel="0" collapsed="false">
      <c r="A28" s="3" t="s">
        <v>163</v>
      </c>
      <c r="B28" s="64" t="n">
        <v>6</v>
      </c>
      <c r="C28" s="3" t="s">
        <v>164</v>
      </c>
      <c r="D28" s="64" t="n">
        <v>6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true" outlineLevel="0" collapsed="false">
      <c r="A30" s="44" t="s">
        <v>151</v>
      </c>
      <c r="B30" s="44" t="s">
        <v>165</v>
      </c>
      <c r="C30" s="44" t="s">
        <v>166</v>
      </c>
      <c r="D30" s="44" t="s">
        <v>167</v>
      </c>
      <c r="E30" s="44" t="s">
        <v>168</v>
      </c>
      <c r="F30" s="44" t="s">
        <v>169</v>
      </c>
      <c r="G30" s="44" t="s">
        <v>170</v>
      </c>
      <c r="H30" s="44" t="s">
        <v>171</v>
      </c>
      <c r="I30" s="44" t="s">
        <v>172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true" outlineLevel="0" collapsed="false">
      <c r="A31" s="23" t="n">
        <v>1</v>
      </c>
      <c r="B31" s="24"/>
      <c r="C31" s="24"/>
      <c r="D31" s="24"/>
      <c r="E31" s="24"/>
      <c r="F31" s="24"/>
      <c r="G31" s="24"/>
      <c r="H31" s="54" t="str">
        <f aca="false">IF(ABS(F31-0)&lt;0.01,"✓","✗")</f>
        <v>✓</v>
      </c>
      <c r="I31" s="54" t="str">
        <f aca="false">IF(ABS(G31-0)&lt;0.01,"✓","✗")</f>
        <v>✓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true" outlineLevel="0" collapsed="false">
      <c r="A32" s="23" t="n">
        <v>0.95</v>
      </c>
      <c r="B32" s="24"/>
      <c r="C32" s="24"/>
      <c r="D32" s="24"/>
      <c r="E32" s="24"/>
      <c r="F32" s="24"/>
      <c r="G32" s="24"/>
      <c r="H32" s="54" t="str">
        <f aca="false">IF(ABS(F32-0.1667)&lt;0.01,"✓","✗")</f>
        <v>✗</v>
      </c>
      <c r="I32" s="54" t="str">
        <f aca="false">IF(ABS(G32-0)&lt;0.01,"✓","✗")</f>
        <v>✓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3" t="n">
        <v>0.88</v>
      </c>
      <c r="B33" s="24"/>
      <c r="C33" s="24"/>
      <c r="D33" s="24"/>
      <c r="E33" s="24"/>
      <c r="F33" s="24"/>
      <c r="G33" s="24"/>
      <c r="H33" s="54" t="str">
        <f aca="false">IF(ABS(F33-0.3333)&lt;0.01,"✓","✗")</f>
        <v>✗</v>
      </c>
      <c r="I33" s="54" t="str">
        <f aca="false">IF(ABS(G33-0)&lt;0.01,"✓","✗")</f>
        <v>✓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23" t="n">
        <v>0.82</v>
      </c>
      <c r="B34" s="24"/>
      <c r="C34" s="24"/>
      <c r="D34" s="24"/>
      <c r="E34" s="24"/>
      <c r="F34" s="24"/>
      <c r="G34" s="24"/>
      <c r="H34" s="54" t="str">
        <f aca="false">IF(ABS(F34-0.5)&lt;0.01,"✓","✗")</f>
        <v>✗</v>
      </c>
      <c r="I34" s="54" t="str">
        <f aca="false">IF(ABS(G34-0)&lt;0.01,"✓","✗")</f>
        <v>✓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23" t="n">
        <v>0.73</v>
      </c>
      <c r="B35" s="24"/>
      <c r="C35" s="24"/>
      <c r="D35" s="24"/>
      <c r="E35" s="24"/>
      <c r="F35" s="24"/>
      <c r="G35" s="24"/>
      <c r="H35" s="54" t="str">
        <f aca="false">IF(ABS(F35-0.6667)&lt;0.01,"✓","✗")</f>
        <v>✗</v>
      </c>
      <c r="I35" s="54" t="str">
        <f aca="false">IF(ABS(G35-0)&lt;0.01,"✓","✗")</f>
        <v>✓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true" outlineLevel="0" collapsed="false">
      <c r="A36" s="23" t="n">
        <v>0.67</v>
      </c>
      <c r="B36" s="24"/>
      <c r="C36" s="24"/>
      <c r="D36" s="24"/>
      <c r="E36" s="24"/>
      <c r="F36" s="24"/>
      <c r="G36" s="24"/>
      <c r="H36" s="54" t="str">
        <f aca="false">IF(ABS(F36-0.8333)&lt;0.01,"✓","✗")</f>
        <v>✗</v>
      </c>
      <c r="I36" s="54" t="str">
        <f aca="false">IF(ABS(G36-0)&lt;0.01,"✓","✗")</f>
        <v>✓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true" outlineLevel="0" collapsed="false">
      <c r="A37" s="23" t="n">
        <v>0.55</v>
      </c>
      <c r="B37" s="24"/>
      <c r="C37" s="24"/>
      <c r="D37" s="24"/>
      <c r="E37" s="24"/>
      <c r="F37" s="24"/>
      <c r="G37" s="24"/>
      <c r="H37" s="54" t="str">
        <f aca="false">IF(ABS(F37-0.8333)&lt;0.01,"✓","✗")</f>
        <v>✗</v>
      </c>
      <c r="I37" s="54" t="str">
        <f aca="false">IF(ABS(G37-0.1667)&lt;0.01,"✓","✗")</f>
        <v>✗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23" t="n">
        <v>0.48</v>
      </c>
      <c r="B38" s="24"/>
      <c r="C38" s="24"/>
      <c r="D38" s="24"/>
      <c r="E38" s="24"/>
      <c r="F38" s="24"/>
      <c r="G38" s="24"/>
      <c r="H38" s="54" t="str">
        <f aca="false">IF(ABS(F38-0.8333)&lt;0.01,"✓","✗")</f>
        <v>✗</v>
      </c>
      <c r="I38" s="54" t="str">
        <f aca="false">IF(ABS(G38-0.3333)&lt;0.01,"✓","✗")</f>
        <v>✗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23" t="n">
        <v>0.42</v>
      </c>
      <c r="B39" s="24"/>
      <c r="C39" s="24"/>
      <c r="D39" s="24"/>
      <c r="E39" s="24"/>
      <c r="F39" s="24"/>
      <c r="G39" s="24"/>
      <c r="H39" s="54" t="str">
        <f aca="false">IF(ABS(F39-1)&lt;0.01,"✓","✗")</f>
        <v>✗</v>
      </c>
      <c r="I39" s="54" t="str">
        <f aca="false">IF(ABS(G39-0.3333)&lt;0.01,"✓","✗")</f>
        <v>✗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true" outlineLevel="0" collapsed="false">
      <c r="A40" s="23" t="n">
        <v>0.35</v>
      </c>
      <c r="B40" s="24"/>
      <c r="C40" s="24"/>
      <c r="D40" s="24"/>
      <c r="E40" s="24"/>
      <c r="F40" s="24"/>
      <c r="G40" s="24"/>
      <c r="H40" s="54" t="str">
        <f aca="false">IF(ABS(F40-1)&lt;0.01,"✓","✗")</f>
        <v>✗</v>
      </c>
      <c r="I40" s="54" t="str">
        <f aca="false">IF(ABS(G40-0.5)&lt;0.01,"✓","✗")</f>
        <v>✗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23" t="n">
        <v>0.27</v>
      </c>
      <c r="B41" s="24"/>
      <c r="C41" s="24"/>
      <c r="D41" s="24"/>
      <c r="E41" s="24"/>
      <c r="F41" s="24"/>
      <c r="G41" s="24"/>
      <c r="H41" s="54" t="str">
        <f aca="false">IF(ABS(F41-1)&lt;0.01,"✓","✗")</f>
        <v>✗</v>
      </c>
      <c r="I41" s="54" t="str">
        <f aca="false">IF(ABS(G41-0.6667)&lt;0.01,"✓","✗")</f>
        <v>✗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3" t="n">
        <v>0.12</v>
      </c>
      <c r="B42" s="24"/>
      <c r="C42" s="24"/>
      <c r="D42" s="24"/>
      <c r="E42" s="24"/>
      <c r="F42" s="24"/>
      <c r="G42" s="24"/>
      <c r="H42" s="54" t="str">
        <f aca="false">IF(ABS(F42-1)&lt;0.01,"✓","✗")</f>
        <v>✗</v>
      </c>
      <c r="I42" s="54" t="str">
        <f aca="false">IF(ABS(G42-0.8333)&lt;0.01,"✓","✗")</f>
        <v>✗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3" t="n">
        <v>0.08</v>
      </c>
      <c r="B43" s="24"/>
      <c r="C43" s="24"/>
      <c r="D43" s="24"/>
      <c r="E43" s="24"/>
      <c r="F43" s="24"/>
      <c r="G43" s="24"/>
      <c r="H43" s="54" t="str">
        <f aca="false">IF(ABS(F43-1)&lt;0.01,"✓","✗")</f>
        <v>✗</v>
      </c>
      <c r="I43" s="54" t="str">
        <f aca="false">IF(ABS(G43-1)&lt;0.01,"✓","✗")</f>
        <v>✗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43" t="s">
        <v>173</v>
      </c>
      <c r="B46" s="43"/>
      <c r="C46" s="43"/>
      <c r="D46" s="43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3" t="s">
        <v>174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44" t="s">
        <v>175</v>
      </c>
      <c r="B50" s="44" t="s">
        <v>176</v>
      </c>
      <c r="C50" s="44" t="s">
        <v>177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65" t="n">
        <v>0</v>
      </c>
      <c r="B51" s="24"/>
      <c r="C51" s="24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65" t="n">
        <v>1</v>
      </c>
      <c r="B52" s="24"/>
      <c r="C52" s="24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65" t="n">
        <v>2</v>
      </c>
      <c r="B53" s="24"/>
      <c r="C53" s="2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65" t="n">
        <v>3</v>
      </c>
      <c r="B54" s="24"/>
      <c r="C54" s="24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65" t="n">
        <v>4</v>
      </c>
      <c r="B55" s="24"/>
      <c r="C55" s="24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65" t="n">
        <v>5</v>
      </c>
      <c r="B56" s="24"/>
      <c r="C56" s="24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65" t="n">
        <v>6</v>
      </c>
      <c r="B57" s="24"/>
      <c r="C57" s="24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65" t="n">
        <v>7</v>
      </c>
      <c r="B58" s="24"/>
      <c r="C58" s="24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65" t="n">
        <v>8</v>
      </c>
      <c r="B59" s="24"/>
      <c r="C59" s="24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65" t="n">
        <v>9</v>
      </c>
      <c r="B60" s="24"/>
      <c r="C60" s="24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65" t="n">
        <v>10</v>
      </c>
      <c r="B61" s="24"/>
      <c r="C61" s="24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65" t="n">
        <v>11</v>
      </c>
      <c r="B62" s="24"/>
      <c r="C62" s="2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65" t="n">
        <v>12</v>
      </c>
      <c r="B63" s="24"/>
      <c r="C63" s="24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43" t="s">
        <v>178</v>
      </c>
      <c r="B66" s="43"/>
      <c r="C66" s="43"/>
      <c r="D66" s="43"/>
      <c r="E66" s="43"/>
      <c r="F66" s="4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59" t="s">
        <v>179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63" t="s">
        <v>180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44" t="s">
        <v>55</v>
      </c>
      <c r="B71" s="44" t="s">
        <v>181</v>
      </c>
      <c r="C71" s="44" t="s">
        <v>182</v>
      </c>
      <c r="D71" s="44" t="s">
        <v>183</v>
      </c>
      <c r="E71" s="44" t="s">
        <v>184</v>
      </c>
      <c r="F71" s="44" t="s">
        <v>185</v>
      </c>
      <c r="G71" s="44" t="s">
        <v>43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65" t="n">
        <v>1</v>
      </c>
      <c r="B72" s="23" t="n">
        <v>0</v>
      </c>
      <c r="C72" s="23" t="n">
        <v>0</v>
      </c>
      <c r="D72" s="23" t="n">
        <v>0</v>
      </c>
      <c r="E72" s="23" t="n">
        <v>0.1667</v>
      </c>
      <c r="F72" s="45"/>
      <c r="G72" s="54" t="str">
        <f aca="false">IF(ABS(F72-0)&lt;0.01,"✓","✗")</f>
        <v>✓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65" t="n">
        <v>2</v>
      </c>
      <c r="B73" s="23" t="n">
        <v>0</v>
      </c>
      <c r="C73" s="23" t="n">
        <v>0</v>
      </c>
      <c r="D73" s="23" t="n">
        <v>0.1667</v>
      </c>
      <c r="E73" s="23" t="n">
        <v>0.3333</v>
      </c>
      <c r="F73" s="45"/>
      <c r="G73" s="54" t="str">
        <f aca="false">IF(ABS(F73-0)&lt;0.01,"✓","✗")</f>
        <v>✓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65" t="n">
        <v>3</v>
      </c>
      <c r="B74" s="23" t="n">
        <v>0</v>
      </c>
      <c r="C74" s="23" t="n">
        <v>0</v>
      </c>
      <c r="D74" s="23" t="n">
        <v>0.3333</v>
      </c>
      <c r="E74" s="23" t="n">
        <v>0.5</v>
      </c>
      <c r="F74" s="45"/>
      <c r="G74" s="54" t="str">
        <f aca="false">IF(ABS(F74-0)&lt;0.01,"✓","✗")</f>
        <v>✓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65" t="n">
        <v>4</v>
      </c>
      <c r="B75" s="23" t="n">
        <v>0</v>
      </c>
      <c r="C75" s="23" t="n">
        <v>0</v>
      </c>
      <c r="D75" s="23" t="n">
        <v>0.5</v>
      </c>
      <c r="E75" s="23" t="n">
        <v>0.6667</v>
      </c>
      <c r="F75" s="45"/>
      <c r="G75" s="54" t="str">
        <f aca="false">IF(ABS(F75-0)&lt;0.01,"✓","✗")</f>
        <v>✓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65" t="n">
        <v>5</v>
      </c>
      <c r="B76" s="23" t="n">
        <v>0</v>
      </c>
      <c r="C76" s="23" t="n">
        <v>0</v>
      </c>
      <c r="D76" s="23" t="n">
        <v>0.6667</v>
      </c>
      <c r="E76" s="23" t="n">
        <v>0.8333</v>
      </c>
      <c r="F76" s="45"/>
      <c r="G76" s="54" t="str">
        <f aca="false">IF(ABS(F76-0)&lt;0.01,"✓","✗")</f>
        <v>✓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65" t="n">
        <v>6</v>
      </c>
      <c r="B77" s="23" t="n">
        <v>0</v>
      </c>
      <c r="C77" s="23" t="n">
        <v>0.1667</v>
      </c>
      <c r="D77" s="23" t="n">
        <v>0.8333</v>
      </c>
      <c r="E77" s="23" t="n">
        <v>0.8333</v>
      </c>
      <c r="F77" s="45"/>
      <c r="G77" s="54" t="str">
        <f aca="false">IF(ABS(F77-0.1389)&lt;0.01,"✓","✗")</f>
        <v>✗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65" t="n">
        <v>7</v>
      </c>
      <c r="B78" s="23" t="n">
        <v>0.1667</v>
      </c>
      <c r="C78" s="23" t="n">
        <v>0.3333</v>
      </c>
      <c r="D78" s="23" t="n">
        <v>0.8333</v>
      </c>
      <c r="E78" s="23" t="n">
        <v>0.8333</v>
      </c>
      <c r="F78" s="45"/>
      <c r="G78" s="54" t="str">
        <f aca="false">IF(ABS(F78-0.1389)&lt;0.01,"✓","✗")</f>
        <v>✗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65" t="n">
        <v>8</v>
      </c>
      <c r="B79" s="23" t="n">
        <v>0.3333</v>
      </c>
      <c r="C79" s="23" t="n">
        <v>0.3333</v>
      </c>
      <c r="D79" s="23" t="n">
        <v>0.8333</v>
      </c>
      <c r="E79" s="23" t="n">
        <v>1</v>
      </c>
      <c r="F79" s="45"/>
      <c r="G79" s="54" t="str">
        <f aca="false">IF(ABS(F79-0)&lt;0.01,"✓","✗")</f>
        <v>✓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65" t="n">
        <v>9</v>
      </c>
      <c r="B80" s="23" t="n">
        <v>0.3333</v>
      </c>
      <c r="C80" s="23" t="n">
        <v>0.5</v>
      </c>
      <c r="D80" s="23" t="n">
        <v>1</v>
      </c>
      <c r="E80" s="23" t="n">
        <v>1</v>
      </c>
      <c r="F80" s="45"/>
      <c r="G80" s="54" t="str">
        <f aca="false">IF(ABS(F80-0.1667)&lt;0.01,"✓","✗")</f>
        <v>✗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65" t="n">
        <v>10</v>
      </c>
      <c r="B81" s="23" t="n">
        <v>0.5</v>
      </c>
      <c r="C81" s="23" t="n">
        <v>0.6667</v>
      </c>
      <c r="D81" s="23" t="n">
        <v>1</v>
      </c>
      <c r="E81" s="23" t="n">
        <v>1</v>
      </c>
      <c r="F81" s="45"/>
      <c r="G81" s="54" t="str">
        <f aca="false">IF(ABS(F81-0.1667)&lt;0.01,"✓","✗")</f>
        <v>✗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65" t="n">
        <v>11</v>
      </c>
      <c r="B82" s="23" t="n">
        <v>0.6667</v>
      </c>
      <c r="C82" s="23" t="n">
        <v>0.8333</v>
      </c>
      <c r="D82" s="23" t="n">
        <v>1</v>
      </c>
      <c r="E82" s="23" t="n">
        <v>1</v>
      </c>
      <c r="F82" s="45"/>
      <c r="G82" s="54" t="str">
        <f aca="false">IF(ABS(F82-0.1667)&lt;0.01,"✓","✗")</f>
        <v>✗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65" t="n">
        <v>12</v>
      </c>
      <c r="B83" s="23" t="n">
        <v>0.8333</v>
      </c>
      <c r="C83" s="23" t="n">
        <v>1</v>
      </c>
      <c r="D83" s="23" t="n">
        <v>1</v>
      </c>
      <c r="E83" s="23" t="n">
        <v>1</v>
      </c>
      <c r="F83" s="45"/>
      <c r="G83" s="54" t="str">
        <f aca="false">IF(ABS(F83-0.1667)&lt;0.01,"✓","✗")</f>
        <v>✗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66" t="s">
        <v>98</v>
      </c>
      <c r="B84" s="66"/>
      <c r="C84" s="66"/>
      <c r="D84" s="66"/>
      <c r="E84" s="66"/>
      <c r="F84" s="67" t="n">
        <f aca="false">SUM(F72:F83)</f>
        <v>0</v>
      </c>
      <c r="G84" s="54" t="str">
        <f aca="false">IF(ABS(F84-0.9444)&lt;0.02,"✓","✗")</f>
        <v>✗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43" t="s">
        <v>186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68" t="s">
        <v>187</v>
      </c>
      <c r="B88" s="68" t="s">
        <v>188</v>
      </c>
      <c r="C88" s="6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69" t="s">
        <v>189</v>
      </c>
      <c r="B89" s="25" t="s">
        <v>190</v>
      </c>
      <c r="C89" s="25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69" t="s">
        <v>191</v>
      </c>
      <c r="B90" s="25" t="s">
        <v>192</v>
      </c>
      <c r="C90" s="25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69" t="s">
        <v>193</v>
      </c>
      <c r="B91" s="25" t="s">
        <v>194</v>
      </c>
      <c r="C91" s="25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69" t="s">
        <v>195</v>
      </c>
      <c r="B92" s="25" t="s">
        <v>196</v>
      </c>
      <c r="C92" s="25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69" t="s">
        <v>197</v>
      </c>
      <c r="B93" s="25" t="s">
        <v>198</v>
      </c>
      <c r="C93" s="25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70" t="s">
        <v>199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">
    <mergeCell ref="A1:I1"/>
    <mergeCell ref="A5:G5"/>
    <mergeCell ref="A22:I22"/>
    <mergeCell ref="A46:D46"/>
    <mergeCell ref="A66:F66"/>
    <mergeCell ref="A84:E84"/>
    <mergeCell ref="B88:C88"/>
    <mergeCell ref="B89:C89"/>
    <mergeCell ref="B90:C90"/>
    <mergeCell ref="B91:C91"/>
    <mergeCell ref="B92:C92"/>
    <mergeCell ref="B93:C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6.71"/>
    <col collapsed="false" customWidth="true" hidden="false" outlineLevel="0" max="13" min="5" style="0" width="5"/>
    <col collapsed="false" customWidth="true" hidden="false" outlineLevel="0" max="26" min="14" style="0" width="8.71"/>
  </cols>
  <sheetData>
    <row r="1" customFormat="false" ht="15" hidden="false" customHeight="false" outlineLevel="0" collapsed="false">
      <c r="A1" s="7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7.35" hidden="false" customHeight="false" outlineLevel="0" collapsed="false">
      <c r="A3" s="72" t="s">
        <v>201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3" t="s">
        <v>202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A6" s="3" t="s">
        <v>203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customFormat="false" ht="15" hidden="false" customHeight="false" outlineLevel="0" collapsed="false">
      <c r="A7" s="3" t="s">
        <v>204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customFormat="false" ht="15" hidden="false" customHeight="false" outlineLevel="0" collapsed="false">
      <c r="A8" s="3" t="s">
        <v>205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5" hidden="false" customHeight="false" outlineLevel="0" collapsed="false">
      <c r="A9" s="3" t="s">
        <v>206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customFormat="false" ht="15" hidden="false" customHeight="false" outlineLevel="0" collapsed="false">
      <c r="A10" s="3" t="s">
        <v>207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5" hidden="false" customHeight="false" outlineLevel="0" collapsed="false">
      <c r="A12" s="73" t="s">
        <v>208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5" hidden="false" customHeight="false" outlineLevel="0" collapsed="false">
      <c r="A13" s="39" t="s">
        <v>175</v>
      </c>
      <c r="B13" s="39" t="s">
        <v>170</v>
      </c>
      <c r="C13" s="39" t="s">
        <v>169</v>
      </c>
      <c r="D13" s="39" t="s">
        <v>209</v>
      </c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5" hidden="false" customHeight="false" outlineLevel="0" collapsed="false">
      <c r="A14" s="39" t="n">
        <v>0</v>
      </c>
      <c r="B14" s="25" t="n">
        <v>0</v>
      </c>
      <c r="C14" s="25" t="n">
        <v>0</v>
      </c>
      <c r="D14" s="3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5" hidden="false" customHeight="false" outlineLevel="0" collapsed="false">
      <c r="A15" s="39" t="n">
        <v>1</v>
      </c>
      <c r="B15" s="25" t="n">
        <v>0</v>
      </c>
      <c r="C15" s="25" t="n">
        <v>0.17</v>
      </c>
      <c r="D15" s="3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5" hidden="false" customHeight="false" outlineLevel="0" collapsed="false">
      <c r="A16" s="39" t="n">
        <v>2</v>
      </c>
      <c r="B16" s="25" t="n">
        <v>0</v>
      </c>
      <c r="C16" s="25" t="n">
        <v>0.33</v>
      </c>
      <c r="D16" s="3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5" hidden="false" customHeight="false" outlineLevel="0" collapsed="false">
      <c r="A17" s="39" t="n">
        <v>3</v>
      </c>
      <c r="B17" s="25" t="n">
        <v>0</v>
      </c>
      <c r="C17" s="25" t="n">
        <v>0.5</v>
      </c>
      <c r="D17" s="3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5" hidden="false" customHeight="false" outlineLevel="0" collapsed="false">
      <c r="A18" s="39" t="n">
        <v>4</v>
      </c>
      <c r="B18" s="25" t="n">
        <v>0</v>
      </c>
      <c r="C18" s="25" t="n">
        <v>0.67</v>
      </c>
      <c r="D18" s="3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5" hidden="false" customHeight="false" outlineLevel="0" collapsed="false">
      <c r="A19" s="39" t="n">
        <v>5</v>
      </c>
      <c r="B19" s="25" t="n">
        <v>0</v>
      </c>
      <c r="C19" s="25" t="n">
        <v>0.83</v>
      </c>
      <c r="D19" s="3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5" hidden="false" customHeight="false" outlineLevel="0" collapsed="false">
      <c r="A20" s="39" t="n">
        <v>6</v>
      </c>
      <c r="B20" s="25" t="n">
        <v>0.17</v>
      </c>
      <c r="C20" s="25" t="n">
        <v>0.83</v>
      </c>
      <c r="D20" s="32"/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5.75" hidden="false" customHeight="true" outlineLevel="0" collapsed="false">
      <c r="A21" s="39" t="n">
        <v>7</v>
      </c>
      <c r="B21" s="25" t="n">
        <v>0.33</v>
      </c>
      <c r="C21" s="25" t="n">
        <v>0.83</v>
      </c>
      <c r="D21" s="32"/>
      <c r="E21" s="2"/>
      <c r="F21" s="2"/>
      <c r="G21" s="2"/>
      <c r="H21" s="2"/>
      <c r="I21" s="2"/>
      <c r="J21" s="2"/>
      <c r="K21" s="2"/>
      <c r="L21" s="2"/>
      <c r="M21" s="2"/>
    </row>
    <row r="22" customFormat="false" ht="15.75" hidden="false" customHeight="true" outlineLevel="0" collapsed="false">
      <c r="A22" s="39" t="n">
        <v>8</v>
      </c>
      <c r="B22" s="25" t="n">
        <v>0.33</v>
      </c>
      <c r="C22" s="25" t="n">
        <v>1</v>
      </c>
      <c r="D22" s="3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5.75" hidden="false" customHeight="true" outlineLevel="0" collapsed="false">
      <c r="A23" s="39" t="n">
        <v>9</v>
      </c>
      <c r="B23" s="25" t="n">
        <v>0.5</v>
      </c>
      <c r="C23" s="25" t="n">
        <v>1</v>
      </c>
      <c r="D23" s="3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5.75" hidden="false" customHeight="true" outlineLevel="0" collapsed="false">
      <c r="A24" s="39" t="n">
        <v>10</v>
      </c>
      <c r="B24" s="25" t="n">
        <v>0.67</v>
      </c>
      <c r="C24" s="25" t="n">
        <v>1</v>
      </c>
      <c r="D24" s="3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5.75" hidden="false" customHeight="true" outlineLevel="0" collapsed="false">
      <c r="A25" s="39" t="n">
        <v>11</v>
      </c>
      <c r="B25" s="25" t="n">
        <v>0.83</v>
      </c>
      <c r="C25" s="25" t="n">
        <v>1</v>
      </c>
      <c r="D25" s="3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5.75" hidden="false" customHeight="true" outlineLevel="0" collapsed="false">
      <c r="A26" s="39" t="n">
        <v>12</v>
      </c>
      <c r="B26" s="25" t="n">
        <v>1</v>
      </c>
      <c r="C26" s="25" t="n">
        <v>1</v>
      </c>
      <c r="D26" s="3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.7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5.75" hidden="false" customHeight="true" outlineLevel="0" collapsed="false">
      <c r="A28" s="73" t="s">
        <v>210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.75" hidden="false" customHeight="true" outlineLevel="0" collapsed="false">
      <c r="A29" s="74" t="s">
        <v>211</v>
      </c>
      <c r="B29" s="75"/>
      <c r="C29" s="76" t="n">
        <v>0</v>
      </c>
      <c r="D29" s="76" t="n">
        <v>0.1</v>
      </c>
      <c r="E29" s="76" t="n">
        <v>0.2</v>
      </c>
      <c r="F29" s="76" t="n">
        <v>0.3</v>
      </c>
      <c r="G29" s="76" t="n">
        <v>0.4</v>
      </c>
      <c r="H29" s="76" t="n">
        <v>0.5</v>
      </c>
      <c r="I29" s="76" t="n">
        <v>0.6</v>
      </c>
      <c r="J29" s="76" t="n">
        <v>0.7</v>
      </c>
      <c r="K29" s="76" t="n">
        <v>0.8</v>
      </c>
      <c r="L29" s="76" t="n">
        <v>0.9</v>
      </c>
      <c r="M29" s="76" t="n">
        <v>1</v>
      </c>
    </row>
    <row r="30" customFormat="false" ht="19.5" hidden="false" customHeight="true" outlineLevel="0" collapsed="false">
      <c r="A30" s="74"/>
      <c r="B30" s="76" t="n">
        <v>1</v>
      </c>
      <c r="C30" s="77"/>
      <c r="D30" s="78"/>
      <c r="E30" s="78"/>
      <c r="F30" s="78"/>
      <c r="G30" s="78"/>
      <c r="H30" s="78"/>
      <c r="I30" s="78"/>
      <c r="J30" s="78"/>
      <c r="K30" s="78"/>
      <c r="L30" s="78"/>
      <c r="M30" s="79" t="s">
        <v>212</v>
      </c>
    </row>
    <row r="31" customFormat="false" ht="19.5" hidden="false" customHeight="true" outlineLevel="0" collapsed="false">
      <c r="A31" s="74"/>
      <c r="B31" s="76" t="n">
        <v>0.9</v>
      </c>
      <c r="C31" s="78"/>
      <c r="D31" s="77"/>
      <c r="E31" s="78"/>
      <c r="F31" s="78"/>
      <c r="G31" s="78"/>
      <c r="H31" s="78"/>
      <c r="I31" s="78"/>
      <c r="J31" s="78"/>
      <c r="K31" s="78"/>
      <c r="L31" s="80" t="s">
        <v>213</v>
      </c>
      <c r="M31" s="78"/>
    </row>
    <row r="32" customFormat="false" ht="19.5" hidden="false" customHeight="true" outlineLevel="0" collapsed="false">
      <c r="A32" s="74"/>
      <c r="B32" s="76" t="n">
        <v>0.8</v>
      </c>
      <c r="C32" s="78"/>
      <c r="D32" s="78"/>
      <c r="E32" s="77"/>
      <c r="F32" s="78"/>
      <c r="G32" s="78"/>
      <c r="H32" s="78"/>
      <c r="I32" s="78"/>
      <c r="J32" s="78"/>
      <c r="K32" s="80" t="s">
        <v>213</v>
      </c>
      <c r="L32" s="78"/>
      <c r="M32" s="78"/>
    </row>
    <row r="33" customFormat="false" ht="19.5" hidden="false" customHeight="true" outlineLevel="0" collapsed="false">
      <c r="A33" s="74"/>
      <c r="B33" s="76" t="n">
        <v>0.7</v>
      </c>
      <c r="C33" s="78"/>
      <c r="D33" s="78"/>
      <c r="E33" s="78"/>
      <c r="F33" s="77"/>
      <c r="G33" s="78"/>
      <c r="H33" s="78"/>
      <c r="I33" s="78"/>
      <c r="J33" s="80" t="s">
        <v>213</v>
      </c>
      <c r="K33" s="78"/>
      <c r="L33" s="78"/>
      <c r="M33" s="78"/>
    </row>
    <row r="34" customFormat="false" ht="19.5" hidden="false" customHeight="true" outlineLevel="0" collapsed="false">
      <c r="A34" s="74"/>
      <c r="B34" s="76" t="n">
        <v>0.6</v>
      </c>
      <c r="C34" s="78"/>
      <c r="D34" s="78"/>
      <c r="E34" s="78"/>
      <c r="F34" s="78"/>
      <c r="G34" s="77"/>
      <c r="H34" s="78"/>
      <c r="I34" s="80" t="s">
        <v>213</v>
      </c>
      <c r="J34" s="78"/>
      <c r="K34" s="78"/>
      <c r="L34" s="78"/>
      <c r="M34" s="78"/>
    </row>
    <row r="35" customFormat="false" ht="19.5" hidden="false" customHeight="true" outlineLevel="0" collapsed="false">
      <c r="A35" s="74"/>
      <c r="B35" s="76" t="n">
        <v>0.5</v>
      </c>
      <c r="C35" s="78"/>
      <c r="D35" s="78"/>
      <c r="E35" s="78"/>
      <c r="F35" s="78"/>
      <c r="G35" s="78"/>
      <c r="H35" s="80" t="s">
        <v>213</v>
      </c>
      <c r="I35" s="78"/>
      <c r="J35" s="78"/>
      <c r="K35" s="78"/>
      <c r="L35" s="78"/>
      <c r="M35" s="78"/>
    </row>
    <row r="36" customFormat="false" ht="19.5" hidden="false" customHeight="true" outlineLevel="0" collapsed="false">
      <c r="A36" s="74"/>
      <c r="B36" s="76" t="n">
        <v>0.4</v>
      </c>
      <c r="C36" s="78"/>
      <c r="D36" s="78"/>
      <c r="E36" s="78"/>
      <c r="F36" s="78"/>
      <c r="G36" s="80" t="s">
        <v>213</v>
      </c>
      <c r="H36" s="78"/>
      <c r="I36" s="77"/>
      <c r="J36" s="78"/>
      <c r="K36" s="78"/>
      <c r="L36" s="78"/>
      <c r="M36" s="78"/>
    </row>
    <row r="37" customFormat="false" ht="19.5" hidden="false" customHeight="true" outlineLevel="0" collapsed="false">
      <c r="A37" s="74"/>
      <c r="B37" s="76" t="n">
        <v>0.3</v>
      </c>
      <c r="C37" s="78"/>
      <c r="D37" s="78"/>
      <c r="E37" s="78"/>
      <c r="F37" s="80" t="s">
        <v>213</v>
      </c>
      <c r="G37" s="78"/>
      <c r="H37" s="78"/>
      <c r="I37" s="78"/>
      <c r="J37" s="77"/>
      <c r="K37" s="78"/>
      <c r="L37" s="78"/>
      <c r="M37" s="78"/>
    </row>
    <row r="38" customFormat="false" ht="19.5" hidden="false" customHeight="true" outlineLevel="0" collapsed="false">
      <c r="A38" s="74"/>
      <c r="B38" s="76" t="n">
        <v>0.2</v>
      </c>
      <c r="C38" s="78"/>
      <c r="D38" s="78"/>
      <c r="E38" s="80" t="s">
        <v>213</v>
      </c>
      <c r="F38" s="78"/>
      <c r="G38" s="78"/>
      <c r="H38" s="78"/>
      <c r="I38" s="78"/>
      <c r="J38" s="78"/>
      <c r="K38" s="77"/>
      <c r="L38" s="78"/>
      <c r="M38" s="78"/>
    </row>
    <row r="39" customFormat="false" ht="19.5" hidden="false" customHeight="true" outlineLevel="0" collapsed="false">
      <c r="A39" s="74"/>
      <c r="B39" s="76" t="n">
        <v>0.1</v>
      </c>
      <c r="C39" s="78"/>
      <c r="D39" s="80" t="s">
        <v>213</v>
      </c>
      <c r="E39" s="78"/>
      <c r="F39" s="78"/>
      <c r="G39" s="78"/>
      <c r="H39" s="78"/>
      <c r="I39" s="78"/>
      <c r="J39" s="78"/>
      <c r="K39" s="78"/>
      <c r="L39" s="77"/>
      <c r="M39" s="78"/>
    </row>
    <row r="40" customFormat="false" ht="19.5" hidden="false" customHeight="true" outlineLevel="0" collapsed="false">
      <c r="A40" s="74"/>
      <c r="B40" s="76" t="n">
        <v>0</v>
      </c>
      <c r="C40" s="79" t="s">
        <v>212</v>
      </c>
      <c r="D40" s="78"/>
      <c r="E40" s="78"/>
      <c r="F40" s="78"/>
      <c r="G40" s="78"/>
      <c r="H40" s="78"/>
      <c r="I40" s="78"/>
      <c r="J40" s="78"/>
      <c r="K40" s="78"/>
      <c r="L40" s="78"/>
      <c r="M40" s="77"/>
    </row>
    <row r="41" customFormat="false" ht="15.75" hidden="false" customHeight="true" outlineLevel="0" collapsed="false">
      <c r="A41" s="2"/>
      <c r="B41" s="81" t="s">
        <v>214</v>
      </c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5.75" hidden="false" customHeight="true" outlineLevel="0" collapsed="false">
      <c r="A43" s="3" t="s">
        <v>215</v>
      </c>
      <c r="B43" s="3" t="s">
        <v>216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5.75" hidden="false" customHeight="true" outlineLevel="0" collapsed="false">
      <c r="A44" s="3"/>
      <c r="B44" s="3" t="s">
        <v>217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5.75" hidden="false" customHeight="true" outlineLevel="0" collapsed="false">
      <c r="A45" s="3" t="s">
        <v>218</v>
      </c>
      <c r="B45" s="3" t="s">
        <v>219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5.75" hidden="false" customHeight="true" outlineLevel="0" collapsed="false">
      <c r="A46" s="3" t="s">
        <v>220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5.75" hidden="false" customHeight="true" outlineLevel="0" collapsed="false">
      <c r="A47" s="3" t="s">
        <v>221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5.75" hidden="false" customHeight="true" outlineLevel="0" collapsed="false">
      <c r="A48" s="3" t="s">
        <v>222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.75" hidden="false" customHeight="true" outlineLevel="0" collapsed="false">
      <c r="A49" s="3" t="s">
        <v>223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.75" hidden="false" customHeight="true" outlineLevel="0" collapsed="false">
      <c r="A50" s="3" t="s">
        <v>224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2">
    <mergeCell ref="A29:A40"/>
    <mergeCell ref="B41:M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9.71"/>
    <col collapsed="false" customWidth="true" hidden="false" outlineLevel="0" max="5" min="2" style="0" width="15"/>
    <col collapsed="false" customWidth="true" hidden="false" outlineLevel="0" max="6" min="6" style="0" width="17.86"/>
    <col collapsed="false" customWidth="true" hidden="false" outlineLevel="0" max="13" min="7" style="0" width="8.71"/>
  </cols>
  <sheetData>
    <row r="1" customFormat="false" ht="15" hidden="false" customHeight="true" outlineLevel="0" collapsed="false">
      <c r="A1" s="19" t="s">
        <v>225</v>
      </c>
      <c r="B1" s="19"/>
      <c r="C1" s="19"/>
      <c r="D1" s="19"/>
      <c r="E1" s="1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7.25" hidden="false" customHeight="true" outlineLevel="0" collapsed="false">
      <c r="A3" s="82" t="s">
        <v>226</v>
      </c>
      <c r="B3" s="3"/>
      <c r="C3" s="3"/>
      <c r="D3" s="3"/>
      <c r="E3" s="3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" hidden="false" customHeight="false" outlineLevel="0" collapsed="false">
      <c r="A4" s="3"/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true" outlineLevel="0" collapsed="false">
      <c r="A5" s="20" t="s">
        <v>227</v>
      </c>
      <c r="B5" s="3"/>
      <c r="C5" s="3"/>
      <c r="D5" s="3"/>
      <c r="E5" s="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3"/>
      <c r="B6" s="3"/>
      <c r="C6" s="3"/>
      <c r="D6" s="3"/>
      <c r="E6" s="3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" hidden="false" customHeight="true" outlineLevel="0" collapsed="false">
      <c r="A7" s="21" t="s">
        <v>228</v>
      </c>
      <c r="B7" s="21" t="s">
        <v>229</v>
      </c>
      <c r="C7" s="21" t="s">
        <v>230</v>
      </c>
      <c r="D7" s="3"/>
      <c r="E7" s="3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31" t="n">
        <v>0.1</v>
      </c>
      <c r="B8" s="83" t="n">
        <v>0.1111</v>
      </c>
      <c r="C8" s="83" t="n">
        <v>-2.1972</v>
      </c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31" t="n">
        <v>0.25</v>
      </c>
      <c r="B9" s="83" t="n">
        <v>0.3333</v>
      </c>
      <c r="C9" s="83" t="n">
        <v>-1.0986</v>
      </c>
      <c r="D9" s="3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31" t="n">
        <v>0.5</v>
      </c>
      <c r="B10" s="83" t="n">
        <v>1</v>
      </c>
      <c r="C10" s="83" t="n">
        <v>0</v>
      </c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31" t="n">
        <v>0.75</v>
      </c>
      <c r="B11" s="83" t="n">
        <v>3</v>
      </c>
      <c r="C11" s="83" t="n">
        <v>1.0986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31" t="n">
        <v>0.9</v>
      </c>
      <c r="B12" s="83" t="n">
        <v>9</v>
      </c>
      <c r="C12" s="83" t="n">
        <v>2.1972</v>
      </c>
      <c r="D12" s="3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false" outlineLevel="0" collapsed="false">
      <c r="A13" s="3"/>
      <c r="B13" s="3"/>
      <c r="C13" s="3"/>
      <c r="D13" s="3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false" outlineLevel="0" collapsed="false">
      <c r="A14" s="3"/>
      <c r="B14" s="3"/>
      <c r="C14" s="3"/>
      <c r="D14" s="3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0" t="s">
        <v>231</v>
      </c>
      <c r="B15" s="3"/>
      <c r="C15" s="3"/>
      <c r="D15" s="3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false" outlineLevel="0" collapsed="false">
      <c r="A16" s="3"/>
      <c r="B16" s="3"/>
      <c r="C16" s="3"/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1" t="s">
        <v>232</v>
      </c>
      <c r="B17" s="21" t="s">
        <v>47</v>
      </c>
      <c r="C17" s="21" t="s">
        <v>48</v>
      </c>
      <c r="D17" s="21" t="s">
        <v>233</v>
      </c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" hidden="false" customHeight="true" outlineLevel="0" collapsed="false">
      <c r="A18" s="31" t="n">
        <v>-2</v>
      </c>
      <c r="B18" s="83" t="n">
        <v>7.3891</v>
      </c>
      <c r="C18" s="83" t="n">
        <v>8.3891</v>
      </c>
      <c r="D18" s="83" t="n">
        <v>0.1192</v>
      </c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" hidden="false" customHeight="true" outlineLevel="0" collapsed="false">
      <c r="A19" s="31" t="n">
        <v>-1</v>
      </c>
      <c r="B19" s="83" t="n">
        <v>2.7183</v>
      </c>
      <c r="C19" s="83" t="n">
        <v>3.7183</v>
      </c>
      <c r="D19" s="83" t="n">
        <v>0.2689</v>
      </c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" hidden="false" customHeight="true" outlineLevel="0" collapsed="false">
      <c r="A20" s="31" t="n">
        <v>0</v>
      </c>
      <c r="B20" s="83" t="n">
        <v>1</v>
      </c>
      <c r="C20" s="83" t="n">
        <v>2</v>
      </c>
      <c r="D20" s="83" t="n">
        <v>0.5</v>
      </c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31" t="n">
        <v>1</v>
      </c>
      <c r="B21" s="83" t="n">
        <v>0.3679</v>
      </c>
      <c r="C21" s="83" t="n">
        <v>1.3679</v>
      </c>
      <c r="D21" s="83" t="n">
        <v>0.7311</v>
      </c>
      <c r="E21" s="3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31" t="n">
        <v>2</v>
      </c>
      <c r="B22" s="83" t="n">
        <v>0.1353</v>
      </c>
      <c r="C22" s="83" t="n">
        <v>1.1353</v>
      </c>
      <c r="D22" s="83" t="n">
        <v>0.8808</v>
      </c>
      <c r="E22" s="3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true" outlineLevel="0" collapsed="false">
      <c r="A23" s="3"/>
      <c r="B23" s="3"/>
      <c r="C23" s="3"/>
      <c r="D23" s="3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true" outlineLevel="0" collapsed="false">
      <c r="A24" s="3"/>
      <c r="B24" s="3"/>
      <c r="C24" s="3"/>
      <c r="D24" s="3"/>
      <c r="E24" s="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0" t="s">
        <v>234</v>
      </c>
      <c r="B25" s="3"/>
      <c r="C25" s="3"/>
      <c r="D25" s="3"/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true" outlineLevel="0" collapsed="false">
      <c r="A26" s="3"/>
      <c r="B26" s="3"/>
      <c r="C26" s="3"/>
      <c r="D26" s="3"/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1" t="s">
        <v>55</v>
      </c>
      <c r="B27" s="21" t="s">
        <v>235</v>
      </c>
      <c r="C27" s="21" t="s">
        <v>232</v>
      </c>
      <c r="D27" s="21" t="s">
        <v>236</v>
      </c>
      <c r="E27" s="21" t="s">
        <v>237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31" t="n">
        <v>1</v>
      </c>
      <c r="B28" s="23" t="n">
        <v>1</v>
      </c>
      <c r="C28" s="83" t="n">
        <v>-2</v>
      </c>
      <c r="D28" s="83" t="n">
        <v>0.1192</v>
      </c>
      <c r="E28" s="83" t="n">
        <v>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31" t="n">
        <v>2</v>
      </c>
      <c r="B29" s="23" t="n">
        <v>2</v>
      </c>
      <c r="C29" s="83" t="n">
        <v>-1</v>
      </c>
      <c r="D29" s="83" t="n">
        <v>0.2689</v>
      </c>
      <c r="E29" s="83" t="n">
        <v>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31" t="n">
        <v>3</v>
      </c>
      <c r="B30" s="23" t="n">
        <v>3</v>
      </c>
      <c r="C30" s="83" t="n">
        <v>0</v>
      </c>
      <c r="D30" s="83" t="n">
        <v>0.5</v>
      </c>
      <c r="E30" s="83" t="n">
        <v>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" hidden="false" customHeight="true" outlineLevel="0" collapsed="false">
      <c r="A31" s="31" t="n">
        <v>4</v>
      </c>
      <c r="B31" s="23" t="n">
        <v>4</v>
      </c>
      <c r="C31" s="83" t="n">
        <v>1</v>
      </c>
      <c r="D31" s="83" t="n">
        <v>0.7311</v>
      </c>
      <c r="E31" s="83" t="n">
        <v>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31" t="n">
        <v>5</v>
      </c>
      <c r="B32" s="23" t="n">
        <v>5</v>
      </c>
      <c r="C32" s="83" t="n">
        <v>2</v>
      </c>
      <c r="D32" s="83" t="n">
        <v>0.8808</v>
      </c>
      <c r="E32" s="83" t="n">
        <v>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" hidden="false" customHeight="true" outlineLevel="0" collapsed="false">
      <c r="A33" s="31" t="n">
        <v>6</v>
      </c>
      <c r="B33" s="23" t="n">
        <v>6</v>
      </c>
      <c r="C33" s="83" t="n">
        <v>3</v>
      </c>
      <c r="D33" s="83" t="n">
        <v>0.9526</v>
      </c>
      <c r="E33" s="83" t="n">
        <v>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true" outlineLevel="0" collapsed="false">
      <c r="A34" s="3"/>
      <c r="B34" s="3"/>
      <c r="C34" s="3"/>
      <c r="D34" s="3"/>
      <c r="E34" s="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true" outlineLevel="0" collapsed="false">
      <c r="A35" s="3"/>
      <c r="B35" s="3"/>
      <c r="C35" s="3"/>
      <c r="D35" s="3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84" t="s">
        <v>238</v>
      </c>
      <c r="B36" s="3"/>
      <c r="C36" s="3"/>
      <c r="D36" s="3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84" t="s">
        <v>239</v>
      </c>
      <c r="B37" s="3"/>
      <c r="C37" s="3"/>
      <c r="D37" s="3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true" outlineLevel="0" collapsed="false">
      <c r="A38" s="3"/>
      <c r="B38" s="3"/>
      <c r="C38" s="3"/>
      <c r="D38" s="3"/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true" outlineLevel="0" collapsed="false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0" t="s">
        <v>240</v>
      </c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true" outlineLevel="0" collapsed="false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" hidden="false" customHeight="true" outlineLevel="0" collapsed="false">
      <c r="A42" s="28" t="s">
        <v>241</v>
      </c>
      <c r="B42" s="85" t="n">
        <v>2.7183</v>
      </c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" hidden="false" customHeight="true" outlineLevel="0" collapsed="false">
      <c r="A45" s="20" t="s">
        <v>242</v>
      </c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" hidden="false" customHeight="true" outlineLevel="0" collapsed="false">
      <c r="A47" s="27" t="s">
        <v>55</v>
      </c>
      <c r="B47" s="27" t="s">
        <v>235</v>
      </c>
      <c r="C47" s="27" t="s">
        <v>243</v>
      </c>
      <c r="D47" s="27" t="s">
        <v>236</v>
      </c>
      <c r="E47" s="27" t="s">
        <v>244</v>
      </c>
      <c r="F47" s="27" t="s">
        <v>245</v>
      </c>
      <c r="G47" s="27" t="s">
        <v>97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" hidden="false" customHeight="true" outlineLevel="0" collapsed="false">
      <c r="A48" s="39" t="n">
        <v>1</v>
      </c>
      <c r="B48" s="29" t="n">
        <v>1</v>
      </c>
      <c r="C48" s="29" t="n">
        <v>0</v>
      </c>
      <c r="D48" s="29" t="n">
        <v>0.1192</v>
      </c>
      <c r="E48" s="85" t="n">
        <v>-2.127</v>
      </c>
      <c r="F48" s="85" t="n">
        <v>-0.1269</v>
      </c>
      <c r="G48" s="85" t="n">
        <v>-0.1269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" hidden="false" customHeight="true" outlineLevel="0" collapsed="false">
      <c r="A49" s="39" t="n">
        <v>2</v>
      </c>
      <c r="B49" s="29" t="n">
        <v>2</v>
      </c>
      <c r="C49" s="29" t="n">
        <v>0</v>
      </c>
      <c r="D49" s="29" t="n">
        <v>0.2689</v>
      </c>
      <c r="E49" s="85" t="n">
        <v>-1.3134</v>
      </c>
      <c r="F49" s="85" t="n">
        <v>-0.3132</v>
      </c>
      <c r="G49" s="85" t="n">
        <v>-0.3132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" hidden="false" customHeight="true" outlineLevel="0" collapsed="false">
      <c r="A50" s="39" t="n">
        <v>3</v>
      </c>
      <c r="B50" s="29" t="n">
        <v>3</v>
      </c>
      <c r="C50" s="29" t="n">
        <v>0</v>
      </c>
      <c r="D50" s="29" t="n">
        <v>0.5</v>
      </c>
      <c r="E50" s="85" t="n">
        <v>-0.6931</v>
      </c>
      <c r="F50" s="85" t="n">
        <v>-0.6931</v>
      </c>
      <c r="G50" s="85" t="n">
        <v>-0.6931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" hidden="false" customHeight="true" outlineLevel="0" collapsed="false">
      <c r="A51" s="39" t="n">
        <v>4</v>
      </c>
      <c r="B51" s="29" t="n">
        <v>4</v>
      </c>
      <c r="C51" s="29" t="n">
        <v>1</v>
      </c>
      <c r="D51" s="29" t="n">
        <v>0.7311</v>
      </c>
      <c r="E51" s="85" t="n">
        <v>-0.3132</v>
      </c>
      <c r="F51" s="85" t="n">
        <v>-1.3134</v>
      </c>
      <c r="G51" s="85" t="n">
        <v>-0.3132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" hidden="false" customHeight="true" outlineLevel="0" collapsed="false">
      <c r="A52" s="39" t="n">
        <v>5</v>
      </c>
      <c r="B52" s="29" t="n">
        <v>5</v>
      </c>
      <c r="C52" s="29" t="n">
        <v>1</v>
      </c>
      <c r="D52" s="29" t="n">
        <v>0.8808</v>
      </c>
      <c r="E52" s="85" t="n">
        <v>-0.1269</v>
      </c>
      <c r="F52" s="85" t="n">
        <v>-2.127</v>
      </c>
      <c r="G52" s="85" t="n">
        <v>-0.1269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" hidden="false" customHeight="true" outlineLevel="0" collapsed="false">
      <c r="A53" s="39" t="n">
        <v>6</v>
      </c>
      <c r="B53" s="29" t="n">
        <v>6</v>
      </c>
      <c r="C53" s="29" t="n">
        <v>1</v>
      </c>
      <c r="D53" s="29" t="n">
        <v>0.9526</v>
      </c>
      <c r="E53" s="85" t="n">
        <v>-0.0486</v>
      </c>
      <c r="F53" s="85" t="n">
        <v>-3.0491</v>
      </c>
      <c r="G53" s="85" t="n">
        <v>-0.0486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" hidden="false" customHeight="true" outlineLevel="0" collapsed="false">
      <c r="A54" s="86" t="s">
        <v>246</v>
      </c>
      <c r="B54" s="87"/>
      <c r="C54" s="87"/>
      <c r="D54" s="87"/>
      <c r="E54" s="87"/>
      <c r="F54" s="88" t="s">
        <v>99</v>
      </c>
      <c r="G54" s="85" t="n">
        <v>-1.622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6" t="s">
        <v>247</v>
      </c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59" t="s">
        <v>248</v>
      </c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44" t="s">
        <v>55</v>
      </c>
      <c r="B60" s="44" t="s">
        <v>119</v>
      </c>
      <c r="C60" s="44" t="s">
        <v>249</v>
      </c>
      <c r="D60" s="44" t="s">
        <v>112</v>
      </c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31" t="n">
        <v>1</v>
      </c>
      <c r="B61" s="23" t="n">
        <v>0</v>
      </c>
      <c r="C61" s="23" t="n">
        <v>0.12</v>
      </c>
      <c r="D61" s="83" t="n">
        <v>0</v>
      </c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31" t="n">
        <v>2</v>
      </c>
      <c r="B62" s="23" t="n">
        <v>0</v>
      </c>
      <c r="C62" s="23" t="n">
        <v>0.27</v>
      </c>
      <c r="D62" s="83" t="n">
        <v>0</v>
      </c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31" t="n">
        <v>3</v>
      </c>
      <c r="B63" s="23" t="n">
        <v>0</v>
      </c>
      <c r="C63" s="23" t="n">
        <v>0.35</v>
      </c>
      <c r="D63" s="83" t="n">
        <v>0</v>
      </c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31" t="n">
        <v>4</v>
      </c>
      <c r="B64" s="23" t="n">
        <v>0</v>
      </c>
      <c r="C64" s="23" t="n">
        <v>0.48</v>
      </c>
      <c r="D64" s="83" t="n">
        <v>0</v>
      </c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31" t="n">
        <v>5</v>
      </c>
      <c r="B65" s="23" t="n">
        <v>0</v>
      </c>
      <c r="C65" s="23" t="n">
        <v>0.55</v>
      </c>
      <c r="D65" s="83" t="n">
        <v>1</v>
      </c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31" t="n">
        <v>6</v>
      </c>
      <c r="B66" s="23" t="n">
        <v>0</v>
      </c>
      <c r="C66" s="23" t="n">
        <v>0.08</v>
      </c>
      <c r="D66" s="83" t="n">
        <v>0</v>
      </c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31" t="n">
        <v>7</v>
      </c>
      <c r="B67" s="23" t="n">
        <v>1</v>
      </c>
      <c r="C67" s="23" t="n">
        <v>0.73</v>
      </c>
      <c r="D67" s="83" t="n">
        <v>1</v>
      </c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31" t="n">
        <v>8</v>
      </c>
      <c r="B68" s="23" t="n">
        <v>1</v>
      </c>
      <c r="C68" s="23" t="n">
        <v>0.88</v>
      </c>
      <c r="D68" s="83" t="n">
        <v>1</v>
      </c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31" t="n">
        <v>9</v>
      </c>
      <c r="B69" s="23" t="n">
        <v>1</v>
      </c>
      <c r="C69" s="23" t="n">
        <v>0.95</v>
      </c>
      <c r="D69" s="83" t="n">
        <v>1</v>
      </c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31" t="n">
        <v>10</v>
      </c>
      <c r="B70" s="23" t="n">
        <v>1</v>
      </c>
      <c r="C70" s="23" t="n">
        <v>0.42</v>
      </c>
      <c r="D70" s="83" t="n">
        <v>0</v>
      </c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31" t="n">
        <v>11</v>
      </c>
      <c r="B71" s="23" t="n">
        <v>1</v>
      </c>
      <c r="C71" s="23" t="n">
        <v>0.67</v>
      </c>
      <c r="D71" s="83" t="n">
        <v>1</v>
      </c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31" t="n">
        <v>12</v>
      </c>
      <c r="B72" s="23" t="n">
        <v>1</v>
      </c>
      <c r="C72" s="23" t="n">
        <v>0.82</v>
      </c>
      <c r="D72" s="83" t="n">
        <v>1</v>
      </c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59" t="s">
        <v>250</v>
      </c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3"/>
      <c r="B76" s="44" t="s">
        <v>251</v>
      </c>
      <c r="C76" s="44" t="s">
        <v>252</v>
      </c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60" t="s">
        <v>141</v>
      </c>
      <c r="B77" s="83" t="n">
        <v>5</v>
      </c>
      <c r="C77" s="83" t="n">
        <v>1</v>
      </c>
      <c r="D77" s="3" t="s">
        <v>253</v>
      </c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60" t="s">
        <v>142</v>
      </c>
      <c r="B78" s="83" t="n">
        <v>1</v>
      </c>
      <c r="C78" s="83" t="n">
        <v>5</v>
      </c>
      <c r="D78" s="3" t="s">
        <v>254</v>
      </c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59" t="s">
        <v>255</v>
      </c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68" t="s">
        <v>126</v>
      </c>
      <c r="B82" s="68" t="s">
        <v>256</v>
      </c>
      <c r="C82" s="68" t="s">
        <v>257</v>
      </c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39" t="s">
        <v>129</v>
      </c>
      <c r="B83" s="25" t="s">
        <v>258</v>
      </c>
      <c r="C83" s="83" t="n">
        <v>0.8333</v>
      </c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39" t="s">
        <v>259</v>
      </c>
      <c r="B84" s="25" t="s">
        <v>260</v>
      </c>
      <c r="C84" s="83" t="n">
        <v>0.8333</v>
      </c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39" t="s">
        <v>132</v>
      </c>
      <c r="B85" s="25" t="s">
        <v>260</v>
      </c>
      <c r="C85" s="83" t="n">
        <v>0.8333</v>
      </c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39" t="s">
        <v>261</v>
      </c>
      <c r="B86" s="25" t="s">
        <v>260</v>
      </c>
      <c r="C86" s="83" t="n">
        <v>0.8333</v>
      </c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59" t="s">
        <v>262</v>
      </c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3" t="s">
        <v>263</v>
      </c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3" t="s">
        <v>264</v>
      </c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89" t="s">
        <v>265</v>
      </c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89" t="s">
        <v>266</v>
      </c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68" t="s">
        <v>151</v>
      </c>
      <c r="B98" s="68" t="s">
        <v>165</v>
      </c>
      <c r="C98" s="68" t="s">
        <v>166</v>
      </c>
      <c r="D98" s="68" t="s">
        <v>167</v>
      </c>
      <c r="E98" s="68" t="s">
        <v>168</v>
      </c>
      <c r="F98" s="68" t="s">
        <v>169</v>
      </c>
      <c r="G98" s="68" t="s">
        <v>170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85" t="n">
        <v>1</v>
      </c>
      <c r="B99" s="85" t="n">
        <v>0</v>
      </c>
      <c r="C99" s="85" t="n">
        <v>0</v>
      </c>
      <c r="D99" s="85" t="n">
        <v>6</v>
      </c>
      <c r="E99" s="85" t="n">
        <v>6</v>
      </c>
      <c r="F99" s="85" t="n">
        <v>0</v>
      </c>
      <c r="G99" s="85" t="n">
        <v>0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85" t="n">
        <v>0.95</v>
      </c>
      <c r="B100" s="85" t="n">
        <v>1</v>
      </c>
      <c r="C100" s="85" t="n">
        <v>0</v>
      </c>
      <c r="D100" s="85" t="n">
        <v>5</v>
      </c>
      <c r="E100" s="85" t="n">
        <v>6</v>
      </c>
      <c r="F100" s="85" t="n">
        <v>0.1667</v>
      </c>
      <c r="G100" s="85" t="n">
        <v>0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85" t="n">
        <v>0.88</v>
      </c>
      <c r="B101" s="85" t="n">
        <v>2</v>
      </c>
      <c r="C101" s="85" t="n">
        <v>0</v>
      </c>
      <c r="D101" s="85" t="n">
        <v>4</v>
      </c>
      <c r="E101" s="85" t="n">
        <v>6</v>
      </c>
      <c r="F101" s="85" t="n">
        <v>0.3333</v>
      </c>
      <c r="G101" s="85" t="n">
        <v>0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85" t="n">
        <v>0.82</v>
      </c>
      <c r="B102" s="85" t="n">
        <v>3</v>
      </c>
      <c r="C102" s="85" t="n">
        <v>0</v>
      </c>
      <c r="D102" s="85" t="n">
        <v>3</v>
      </c>
      <c r="E102" s="85" t="n">
        <v>6</v>
      </c>
      <c r="F102" s="85" t="n">
        <v>0.5</v>
      </c>
      <c r="G102" s="85" t="n">
        <v>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85" t="n">
        <v>0.73</v>
      </c>
      <c r="B103" s="85" t="n">
        <v>4</v>
      </c>
      <c r="C103" s="85" t="n">
        <v>0</v>
      </c>
      <c r="D103" s="85" t="n">
        <v>2</v>
      </c>
      <c r="E103" s="85" t="n">
        <v>6</v>
      </c>
      <c r="F103" s="85" t="n">
        <v>0.6667</v>
      </c>
      <c r="G103" s="85" t="n">
        <v>0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85" t="n">
        <v>0.67</v>
      </c>
      <c r="B104" s="85" t="n">
        <v>5</v>
      </c>
      <c r="C104" s="85" t="n">
        <v>0</v>
      </c>
      <c r="D104" s="85" t="n">
        <v>1</v>
      </c>
      <c r="E104" s="85" t="n">
        <v>6</v>
      </c>
      <c r="F104" s="85" t="n">
        <v>0.8333</v>
      </c>
      <c r="G104" s="85" t="n">
        <v>0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90" t="n">
        <v>0.55</v>
      </c>
      <c r="B105" s="85" t="n">
        <v>5</v>
      </c>
      <c r="C105" s="85" t="n">
        <v>1</v>
      </c>
      <c r="D105" s="85" t="n">
        <v>1</v>
      </c>
      <c r="E105" s="85" t="n">
        <v>5</v>
      </c>
      <c r="F105" s="85" t="n">
        <v>0.8333</v>
      </c>
      <c r="G105" s="85" t="n">
        <v>0.1667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85" t="n">
        <v>0.48</v>
      </c>
      <c r="B106" s="85" t="n">
        <v>5</v>
      </c>
      <c r="C106" s="85" t="n">
        <v>2</v>
      </c>
      <c r="D106" s="85" t="n">
        <v>1</v>
      </c>
      <c r="E106" s="85" t="n">
        <v>4</v>
      </c>
      <c r="F106" s="85" t="n">
        <v>0.8333</v>
      </c>
      <c r="G106" s="85" t="n">
        <v>0.3333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85" t="n">
        <v>0.42</v>
      </c>
      <c r="B107" s="85" t="n">
        <v>6</v>
      </c>
      <c r="C107" s="85" t="n">
        <v>2</v>
      </c>
      <c r="D107" s="85" t="n">
        <v>0</v>
      </c>
      <c r="E107" s="85" t="n">
        <v>4</v>
      </c>
      <c r="F107" s="85" t="n">
        <v>1</v>
      </c>
      <c r="G107" s="85" t="n">
        <v>0.3333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85" t="n">
        <v>0.35</v>
      </c>
      <c r="B108" s="85" t="n">
        <v>6</v>
      </c>
      <c r="C108" s="85" t="n">
        <v>3</v>
      </c>
      <c r="D108" s="85" t="n">
        <v>0</v>
      </c>
      <c r="E108" s="85" t="n">
        <v>3</v>
      </c>
      <c r="F108" s="85" t="n">
        <v>1</v>
      </c>
      <c r="G108" s="85" t="n">
        <v>0.5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85" t="n">
        <v>0.27</v>
      </c>
      <c r="B109" s="85" t="n">
        <v>6</v>
      </c>
      <c r="C109" s="85" t="n">
        <v>4</v>
      </c>
      <c r="D109" s="85" t="n">
        <v>0</v>
      </c>
      <c r="E109" s="85" t="n">
        <v>2</v>
      </c>
      <c r="F109" s="85" t="n">
        <v>1</v>
      </c>
      <c r="G109" s="85" t="n">
        <v>0.6667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85" t="n">
        <v>0.12</v>
      </c>
      <c r="B110" s="85" t="n">
        <v>6</v>
      </c>
      <c r="C110" s="85" t="n">
        <v>5</v>
      </c>
      <c r="D110" s="85" t="n">
        <v>0</v>
      </c>
      <c r="E110" s="85" t="n">
        <v>1</v>
      </c>
      <c r="F110" s="85" t="n">
        <v>1</v>
      </c>
      <c r="G110" s="85" t="n">
        <v>0.8333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85" t="n">
        <v>0.08</v>
      </c>
      <c r="B111" s="85" t="n">
        <v>6</v>
      </c>
      <c r="C111" s="85" t="n">
        <v>6</v>
      </c>
      <c r="D111" s="85" t="n">
        <v>0</v>
      </c>
      <c r="E111" s="85" t="n">
        <v>0</v>
      </c>
      <c r="F111" s="85" t="n">
        <v>1</v>
      </c>
      <c r="G111" s="85" t="n">
        <v>1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91" t="s">
        <v>267</v>
      </c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68" t="s">
        <v>175</v>
      </c>
      <c r="B115" s="68" t="s">
        <v>170</v>
      </c>
      <c r="C115" s="68" t="s">
        <v>169</v>
      </c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39" t="n">
        <v>0</v>
      </c>
      <c r="B116" s="85" t="n">
        <v>0</v>
      </c>
      <c r="C116" s="85" t="n">
        <v>0</v>
      </c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39" t="n">
        <v>1</v>
      </c>
      <c r="B117" s="85" t="n">
        <v>0</v>
      </c>
      <c r="C117" s="85" t="n">
        <v>0.1667</v>
      </c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39" t="n">
        <v>2</v>
      </c>
      <c r="B118" s="85" t="n">
        <v>0</v>
      </c>
      <c r="C118" s="85" t="n">
        <v>0.3333</v>
      </c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39" t="n">
        <v>3</v>
      </c>
      <c r="B119" s="85" t="n">
        <v>0</v>
      </c>
      <c r="C119" s="85" t="n">
        <v>0.5</v>
      </c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39" t="n">
        <v>4</v>
      </c>
      <c r="B120" s="85" t="n">
        <v>0</v>
      </c>
      <c r="C120" s="85" t="n">
        <v>0.6667</v>
      </c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39" t="n">
        <v>5</v>
      </c>
      <c r="B121" s="85" t="n">
        <v>0</v>
      </c>
      <c r="C121" s="85" t="n">
        <v>0.8333</v>
      </c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39" t="n">
        <v>6</v>
      </c>
      <c r="B122" s="85" t="n">
        <v>0.1667</v>
      </c>
      <c r="C122" s="85" t="n">
        <v>0.8333</v>
      </c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39" t="n">
        <v>7</v>
      </c>
      <c r="B123" s="85" t="n">
        <v>0.3333</v>
      </c>
      <c r="C123" s="85" t="n">
        <v>0.8333</v>
      </c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39" t="n">
        <v>8</v>
      </c>
      <c r="B124" s="85" t="n">
        <v>0.3333</v>
      </c>
      <c r="C124" s="85" t="n">
        <v>1</v>
      </c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39" t="n">
        <v>9</v>
      </c>
      <c r="B125" s="85" t="n">
        <v>0.5</v>
      </c>
      <c r="C125" s="85" t="n">
        <v>1</v>
      </c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39" t="n">
        <v>10</v>
      </c>
      <c r="B126" s="85" t="n">
        <v>0.6667</v>
      </c>
      <c r="C126" s="85" t="n">
        <v>1</v>
      </c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39" t="n">
        <v>11</v>
      </c>
      <c r="B127" s="85" t="n">
        <v>0.8333</v>
      </c>
      <c r="C127" s="85" t="n">
        <v>1</v>
      </c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39" t="n">
        <v>12</v>
      </c>
      <c r="B128" s="85" t="n">
        <v>1</v>
      </c>
      <c r="C128" s="85" t="n">
        <v>1</v>
      </c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91" t="s">
        <v>268</v>
      </c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3" t="s">
        <v>269</v>
      </c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3" t="s">
        <v>270</v>
      </c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91" t="s">
        <v>271</v>
      </c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3" t="s">
        <v>272</v>
      </c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3"/>
      <c r="B139" s="92" t="s">
        <v>273</v>
      </c>
      <c r="C139" s="92" t="n">
        <v>0</v>
      </c>
      <c r="D139" s="92" t="n">
        <v>0.1</v>
      </c>
      <c r="E139" s="92" t="n">
        <v>0.2</v>
      </c>
      <c r="F139" s="92" t="n">
        <v>0.3</v>
      </c>
      <c r="G139" s="92" t="n">
        <v>0.4</v>
      </c>
      <c r="H139" s="92" t="n">
        <v>0.5</v>
      </c>
      <c r="I139" s="92" t="n">
        <v>0.6</v>
      </c>
      <c r="J139" s="92" t="n">
        <v>0.7</v>
      </c>
      <c r="K139" s="92" t="n">
        <v>0.8</v>
      </c>
      <c r="L139" s="92" t="n">
        <v>0.9</v>
      </c>
      <c r="M139" s="92" t="n">
        <v>1</v>
      </c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3"/>
      <c r="B140" s="92" t="n">
        <v>1</v>
      </c>
      <c r="C140" s="85"/>
      <c r="D140" s="85"/>
      <c r="E140" s="85"/>
      <c r="F140" s="93" t="s">
        <v>212</v>
      </c>
      <c r="G140" s="85"/>
      <c r="H140" s="93" t="s">
        <v>212</v>
      </c>
      <c r="I140" s="85"/>
      <c r="J140" s="93" t="s">
        <v>212</v>
      </c>
      <c r="K140" s="93" t="s">
        <v>212</v>
      </c>
      <c r="L140" s="85"/>
      <c r="M140" s="93" t="s">
        <v>212</v>
      </c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3"/>
      <c r="B141" s="92" t="n">
        <v>0.9</v>
      </c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3"/>
      <c r="B142" s="92" t="n">
        <v>0.8</v>
      </c>
      <c r="C142" s="93" t="s">
        <v>212</v>
      </c>
      <c r="D142" s="85"/>
      <c r="E142" s="93" t="s">
        <v>212</v>
      </c>
      <c r="F142" s="93" t="s">
        <v>212</v>
      </c>
      <c r="G142" s="85"/>
      <c r="H142" s="85"/>
      <c r="I142" s="85"/>
      <c r="J142" s="85"/>
      <c r="K142" s="85"/>
      <c r="L142" s="85"/>
      <c r="M142" s="85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3"/>
      <c r="B143" s="92" t="n">
        <v>0.7</v>
      </c>
      <c r="C143" s="93" t="s">
        <v>212</v>
      </c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3"/>
      <c r="B144" s="92" t="n">
        <v>0.6</v>
      </c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3"/>
      <c r="B145" s="92" t="n">
        <v>0.5</v>
      </c>
      <c r="C145" s="93" t="s">
        <v>212</v>
      </c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3"/>
      <c r="B146" s="92" t="n">
        <v>0.4</v>
      </c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3"/>
      <c r="B147" s="92" t="n">
        <v>0.3</v>
      </c>
      <c r="C147" s="93" t="s">
        <v>212</v>
      </c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3"/>
      <c r="B148" s="92" t="n">
        <v>0.2</v>
      </c>
      <c r="C148" s="93" t="s">
        <v>212</v>
      </c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3"/>
      <c r="B149" s="92" t="n">
        <v>0.1</v>
      </c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3"/>
      <c r="B150" s="92" t="n">
        <v>0</v>
      </c>
      <c r="C150" s="93" t="s">
        <v>212</v>
      </c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3" t="s">
        <v>274</v>
      </c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3" t="s">
        <v>275</v>
      </c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3" t="s">
        <v>276</v>
      </c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5.7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5.7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5.7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5.7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5.7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2026-02-16T01:54:05Z</dcterms:created>
  <dc:creator>openpyxl</dc:creator>
  <dc:description/>
  <dc:language>en-US</dc:language>
  <cp:lastModifiedBy/>
  <dcterms:modified xsi:type="dcterms:W3CDTF">2026-04-29T07:36:49Z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