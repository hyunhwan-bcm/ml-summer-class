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ummy_Coding" sheetId="2" r:id="rId5"/>
    <sheet state="visible" name="Step2_Group_Means" sheetId="3" r:id="rId6"/>
    <sheet state="visible" name="Step3_Regression_Interpretation" sheetId="4" r:id="rId7"/>
    <sheet state="visible" name="Step4_Multilevel_Dummy" sheetId="5" r:id="rId8"/>
    <sheet state="visible" name="Step5_Numeric_Coding_Trap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2MjP7NkDiE0x/yrHMKQBFSembhhDEcCxdvHkHk2yk9k="/>
    </ext>
  </extLst>
</workbook>
</file>

<file path=xl/sharedStrings.xml><?xml version="1.0" encoding="utf-8"?>
<sst xmlns="http://schemas.openxmlformats.org/spreadsheetml/2006/main" count="410" uniqueCount="321">
  <si>
    <t>[Description] Categorical Variables in Regression - Dummy coding and interpretation</t>
  </si>
  <si>
    <t>Categorical Variables Worksheet</t>
  </si>
  <si>
    <t>Dataset: Insurance Premium Study</t>
  </si>
  <si>
    <t>Variables: charges (Y) ~ age + smoker (categorical)</t>
  </si>
  <si>
    <t>Source: ../Dataset/insurance.csv</t>
  </si>
  <si>
    <t>Learning Objectives:</t>
  </si>
  <si>
    <t>1. Convert categorical variable to dummy/indicator variable</t>
  </si>
  <si>
    <t>2. Understand dummy coding: smoker (yes=1, no=0)</t>
  </si>
  <si>
    <t>3. Interpret regression with categorical predictor</t>
  </si>
  <si>
    <t>4. Calculate group means and differences</t>
  </si>
  <si>
    <t>5. Understand the meaning of categorical coefficient</t>
  </si>
  <si>
    <t>Key Concepts:</t>
  </si>
  <si>
    <t>Dummy Variable:</t>
  </si>
  <si>
    <t>Binary (0/1) representation of category</t>
  </si>
  <si>
    <t>Reference Category:</t>
  </si>
  <si>
    <t>The category coded as 0 (baseline)</t>
  </si>
  <si>
    <t>Coefficient β:</t>
  </si>
  <si>
    <t>Difference in Y between categories</t>
  </si>
  <si>
    <t>Model:</t>
  </si>
  <si>
    <t>Y = β₀ + β₁(age) + β₂(smoker) + ε</t>
  </si>
  <si>
    <t>Interpretation:</t>
  </si>
  <si>
    <t>β₂ = E[Y|smoker=yes] - E[Y|smoker=no], controlling for age</t>
  </si>
  <si>
    <t>Key Formulas:</t>
  </si>
  <si>
    <t>• Dummy variable: D = 1 if category matches, 0 otherwise</t>
  </si>
  <si>
    <t>• Model with dummy: Y = β₀ + β₁X + β₂D + ε</t>
  </si>
  <si>
    <t>• Group mean: E[Y|D=1] = β₀ + β₂, E[Y|D=0] = β₀</t>
  </si>
  <si>
    <t>• Coefficient interpretation: β₂ = difference between group means</t>
  </si>
  <si>
    <t>Color Guide:</t>
  </si>
  <si>
    <t>Given Data (Input)</t>
  </si>
  <si>
    <t>Intermediate Calculations</t>
  </si>
  <si>
    <t>Student Input (enter answers)</t>
  </si>
  <si>
    <t>Correct Answer (✓)</t>
  </si>
  <si>
    <t>Incorrect Answer (✗)</t>
  </si>
  <si>
    <t>Sheet Overview:</t>
  </si>
  <si>
    <t>Step1_Dummy_Coding</t>
  </si>
  <si>
    <t>Convert categorical "smoker" variable to numeric dummy (yes=1, no=0)</t>
  </si>
  <si>
    <t>Step2_Group_Means</t>
  </si>
  <si>
    <t>Calculate average charges for smokers vs non-smokers</t>
  </si>
  <si>
    <t>Step3_Regression_Interpretation</t>
  </si>
  <si>
    <t>Run regression with dummy variable using Step1 data, interpret coefficients</t>
  </si>
  <si>
    <t>Step4_Multilevel_Dummy</t>
  </si>
  <si>
    <t>Practice creating k-1 dummy variables for k-level categorical (region: 3 levels)</t>
  </si>
  <si>
    <t>Step5_Numeric_Coding_Trap</t>
  </si>
  <si>
    <t>Learn why using numeric codes (1,2,3) directly in regression is wrong</t>
  </si>
  <si>
    <t>Answer_Key</t>
  </si>
  <si>
    <t>Reference answers for self-checking</t>
  </si>
  <si>
    <t>[Description] REAL DATA: Insurance charges with categorical predictor (smoker)</t>
  </si>
  <si>
    <t>INSURANCE DATASET (8 samples from insurance.csv)</t>
  </si>
  <si>
    <t>i</t>
  </si>
  <si>
    <t>age</t>
  </si>
  <si>
    <t>smoker</t>
  </si>
  <si>
    <t>charges</t>
  </si>
  <si>
    <t>yes</t>
  </si>
  <si>
    <t>no</t>
  </si>
  <si>
    <t>STEP 1: Create Dummy Variable for Smoker</t>
  </si>
  <si>
    <t>Coding: smoker="yes" → 1, smoker="no" → 0</t>
  </si>
  <si>
    <t>age (X₁)</t>
  </si>
  <si>
    <t>smoker_dummy (X₂)</t>
  </si>
  <si>
    <t>charges (Y)</t>
  </si>
  <si>
    <t>Check</t>
  </si>
  <si>
    <t>[Description] Calculate mean charges for smokers vs non-smokers</t>
  </si>
  <si>
    <t>GROUP MEAN CALCULATION</t>
  </si>
  <si>
    <t>Goal: Calculate average charges for each group to understand the smoker effect</t>
  </si>
  <si>
    <t>Non-Smokers (X₂ = 0):</t>
  </si>
  <si>
    <t>Mean:</t>
  </si>
  <si>
    <t>← Calculate: AVERAGE(C8:C14)</t>
  </si>
  <si>
    <t>Smokers (X₂ = 1):</t>
  </si>
  <si>
    <t>← Calculate: AVERAGE(C22:C22)</t>
  </si>
  <si>
    <t>DIFFERENCE (Smoker effect):</t>
  </si>
  <si>
    <t>Mean(smokers) - Mean(non-smokers) =</t>
  </si>
  <si>
    <t>Key Insight: This difference ≈ β₂ in the simple model without other predictors</t>
  </si>
  <si>
    <t>[Description] Run regression with categorical predictor and interpret coefficients</t>
  </si>
  <si>
    <t>REGRESSION WITH CATEGORICAL VARIABLE</t>
  </si>
  <si>
    <t>Model: charges = β₀ + β₁(age) + β₂(smoker_dummy)</t>
  </si>
  <si>
    <t>Data: Use the completed table from Step1 (rows 21-28, columns B:D with your dummy codes in column C)</t>
  </si>
  <si>
    <t>STEP 3a: Run Multiple Regression in Excel</t>
  </si>
  <si>
    <t>1. Go to Data → Data Analysis → Regression</t>
  </si>
  <si>
    <t>2. Input Y Range: Step1!D21:D28 (charges)</t>
  </si>
  <si>
    <t>3. Input X Range: Step1!B21:C28 (age and smoker_dummy)</t>
  </si>
  <si>
    <t>4. Check "Labels" if you include headers</t>
  </si>
  <si>
    <t>Regression Output (enter values from your analysis):</t>
  </si>
  <si>
    <t>Coefficient</t>
  </si>
  <si>
    <t>Std Error</t>
  </si>
  <si>
    <t>t-stat</t>
  </si>
  <si>
    <t>p-value</t>
  </si>
  <si>
    <t>Intercept (b0)</t>
  </si>
  <si>
    <t>age (b1)</t>
  </si>
  <si>
    <t>smoker_dummy (b2)</t>
  </si>
  <si>
    <t>R-squared =</t>
  </si>
  <si>
    <t>STEP 3b: Interpret the Coefficients</t>
  </si>
  <si>
    <t>Q1: What does b2 represent in this model?</t>
  </si>
  <si>
    <t>Answer:</t>
  </si>
  <si>
    <t>Q2: What is the predicted charge for a 30-year-old non-smoker?</t>
  </si>
  <si>
    <t>Formula: Y_hat = b0 + b1(30) + b2(0) =</t>
  </si>
  <si>
    <t>Q3: What is the predicted charge for a 30-year-old smoker?</t>
  </si>
  <si>
    <t>Formula: Y_hat = b0 + b1(30) + b2(1) =</t>
  </si>
  <si>
    <t>Q4: Compare the difference in predicted charges between smoker and non-smoker.</t>
  </si>
  <si>
    <t>Difference = Y_hat(smoker) - Y_hat(non-smoker) =</t>
  </si>
  <si>
    <t>Key Insight:</t>
  </si>
  <si>
    <t>The coefficient b2 directly represents the difference in expected Y</t>
  </si>
  <si>
    <t>between categories, controlling for other variables (age).</t>
  </si>
  <si>
    <t>[Description] Multilevel categorical variable: dummy coding with k-1 variables</t>
  </si>
  <si>
    <t>MULTILEVEL DUMMY CODING EXERCISE</t>
  </si>
  <si>
    <t>Dataset: Employee salary data with Region variable (3 levels)</t>
  </si>
  <si>
    <t>Goal: Learn to create (k-1) dummy variables for k-level categorical variable</t>
  </si>
  <si>
    <t>STEP 4a: Original Data with Multilevel Categorical Variable</t>
  </si>
  <si>
    <t>experience</t>
  </si>
  <si>
    <t>region</t>
  </si>
  <si>
    <t>salary</t>
  </si>
  <si>
    <t>North</t>
  </si>
  <si>
    <t>South</t>
  </si>
  <si>
    <t>Central</t>
  </si>
  <si>
    <t>STEP 4b: Create Dummy Variables (Reference = North)</t>
  </si>
  <si>
    <t>Reference category: North (all dummies = 0 for this group)</t>
  </si>
  <si>
    <t>• D_South = 1 if region='South', 0 otherwise</t>
  </si>
  <si>
    <t>• D_Central = 1 if region='Central', 0 otherwise</t>
  </si>
  <si>
    <t>D_South</t>
  </si>
  <si>
    <t>D_Central</t>
  </si>
  <si>
    <t>STEP 4c: Regression Model Interpretation</t>
  </si>
  <si>
    <t>Model: salary = β₀ + β₁(experience) + β₂(D_South) + β₃(D_Central)</t>
  </si>
  <si>
    <t>Given regression results (using Data Analysis):</t>
  </si>
  <si>
    <t>Intercept</t>
  </si>
  <si>
    <t>Questions (fill in the blanks):</t>
  </si>
  <si>
    <t>Q1. β₂ = 4200 means: Compared to _______ region,</t>
  </si>
  <si>
    <t xml:space="preserve">    the South region has _______ higher salary on average,</t>
  </si>
  <si>
    <t xml:space="preserve">    holding experience constant.</t>
  </si>
  <si>
    <t>Q2. For a worker with 5 years experience in the North:</t>
  </si>
  <si>
    <t xml:space="preserve">    Predicted salary = _______ + _______×5 = _______</t>
  </si>
  <si>
    <t>Q3. For a worker with 5 years experience in the South:</t>
  </si>
  <si>
    <t xml:space="preserve">    Predicted salary = _______ + _______×5 + _______ = _______</t>
  </si>
  <si>
    <t>STEP 4d: Partial F-test (Testing all region dummies simultaneously)</t>
  </si>
  <si>
    <t>Question: Is region as a whole significant? (H₀: β₂ = β₃ = 0)</t>
  </si>
  <si>
    <t>Full model (with region dummies):</t>
  </si>
  <si>
    <t>SSE_Full =</t>
  </si>
  <si>
    <t>df_Full =</t>
  </si>
  <si>
    <t>n - p = 8 - 4 = 4</t>
  </si>
  <si>
    <t>Reduced model (without region dummies):</t>
  </si>
  <si>
    <t>SSE_Reduced =</t>
  </si>
  <si>
    <t>df_Reduced =</t>
  </si>
  <si>
    <t>n - p = 8 - 2 = 6</t>
  </si>
  <si>
    <t>Calculate Partial F-statistic:</t>
  </si>
  <si>
    <t>F = [(SSE_R - SSE_F) / q] / [SSE_F / (n - p_F)]</t>
  </si>
  <si>
    <t>where q = number of restrictions = 2 (D_South and D_Central)</t>
  </si>
  <si>
    <t>Step 1: SSE_R - SSE_F =</t>
  </si>
  <si>
    <t>Step 2: (SSE_R - SSE_F) / q =</t>
  </si>
  <si>
    <t>Step 3: SSE_F / (n - p_F) = MSE_F =</t>
  </si>
  <si>
    <t>Step 4: F-statistic =</t>
  </si>
  <si>
    <t>Critical value: F(2, 4, 0.05) ≈ 6.94</t>
  </si>
  <si>
    <t>Conclusion: Region effect is ____________ (significant / not significant)</t>
  </si>
  <si>
    <t>[Description] Common mistake: using numeric codes directly in regression</t>
  </si>
  <si>
    <t>NUMERIC CODING TRAP - A Common Mistake</t>
  </si>
  <si>
    <t>Problem: What happens when we code categories as 1, 2, 3 and use directly in regression?</t>
  </si>
  <si>
    <t>This exercise demonstrates why numeric coding forces incorrect assumptions.</t>
  </si>
  <si>
    <t>STEP 5a: Same Data with Numeric Region Coding</t>
  </si>
  <si>
    <t>region_num</t>
  </si>
  <si>
    <t>STEP 5b: WRONG Approach - Using Numeric Code Directly</t>
  </si>
  <si>
    <t>Model (WRONG): salary = β₀ + β₁(experience) + β₂(region_num)</t>
  </si>
  <si>
    <t>Regression results using numeric code:</t>
  </si>
  <si>
    <t>Interpretation</t>
  </si>
  <si>
    <t>Base salary</t>
  </si>
  <si>
    <t>Per year increase</t>
  </si>
  <si>
    <t>Per unit change in code (!)</t>
  </si>
  <si>
    <t>⚠️ THE PROBLEM:</t>
  </si>
  <si>
    <t>This model FORCES: (North→South effect) = (South→Central effect) = -1050</t>
  </si>
  <si>
    <t>That is: going from code 1→2 has SAME effect as going from 2→3</t>
  </si>
  <si>
    <t>But regions are NOMINAL - there's no inherent ordering or equal spacing!</t>
  </si>
  <si>
    <t>STEP 5c: CORRECT Approach - Using Dummy Variables</t>
  </si>
  <si>
    <t>Model (CORRECT): salary = β₀ + β₁(experience) + β₂(D_South) + β₃(D_Central)</t>
  </si>
  <si>
    <t>Regression results using dummy coding:</t>
  </si>
  <si>
    <t>North region base</t>
  </si>
  <si>
    <t>South vs North (free)</t>
  </si>
  <si>
    <t>Central vs North (free)</t>
  </si>
  <si>
    <t>STEP 5d: Compare Predictions</t>
  </si>
  <si>
    <t>Calculate predicted salary for a worker with 5 years experience:</t>
  </si>
  <si>
    <t>Numeric Code</t>
  </si>
  <si>
    <t>Dummy Code</t>
  </si>
  <si>
    <t>Difference</t>
  </si>
  <si>
    <t>North (code=1)</t>
  </si>
  <si>
    <t>South (code=2)</t>
  </si>
  <si>
    <t>Central (code=3)</t>
  </si>
  <si>
    <t>Calculation hints:</t>
  </si>
  <si>
    <t>• Numeric: salary = 31200 + 2750×(exp) + (-1050)×(region_num)</t>
  </si>
  <si>
    <t>• Dummy: salary = 28500 + 2800×(exp) + 4200×(D_South) + (-2100)×(D_Central)</t>
  </si>
  <si>
    <t>SUMMARY QUESTIONS:</t>
  </si>
  <si>
    <t>Q1. In the numeric code model, what is the predicted difference</t>
  </si>
  <si>
    <t xml:space="preserve">    between South and North? _______</t>
  </si>
  <si>
    <t>Q2. In the dummy code model, what is the predicted difference</t>
  </si>
  <si>
    <t>Q3. Why does numeric coding give wrong results for categorical variables?</t>
  </si>
  <si>
    <t xml:space="preserve">    (Choose: a) assumes equal spacing b) no intercept c) too many parameters)</t>
  </si>
  <si>
    <t>Key Insight: Dummy coding allows EACH group to have its own mean,</t>
  </si>
  <si>
    <t>while numeric coding FORCES a linear relationship between codes and outcomes.</t>
  </si>
  <si>
    <t>[Description] ANSWER KEY</t>
  </si>
  <si>
    <t>ANSWER KEY</t>
  </si>
  <si>
    <t>Dummy Coding:</t>
  </si>
  <si>
    <t>Sample 1: smoker=yes → X₂ = 1</t>
  </si>
  <si>
    <t>Sample 2: smoker=no → X₂ = 0</t>
  </si>
  <si>
    <t>Sample 3: smoker=no → X₂ = 0</t>
  </si>
  <si>
    <t>Sample 4: smoker=no → X₂ = 0</t>
  </si>
  <si>
    <t>Sample 5: smoker=no → X₂ = 0</t>
  </si>
  <si>
    <t>Sample 6: smoker=no → X₂ = 0</t>
  </si>
  <si>
    <t>Sample 7: smoker=no → X₂ = 0</t>
  </si>
  <si>
    <t>Sample 8: smoker=no → X₂ = 0</t>
  </si>
  <si>
    <t>Group Means:</t>
  </si>
  <si>
    <t>Mean(non-smokers) = 7329.29</t>
  </si>
  <si>
    <t>Mean(smokers) = 16884.92</t>
  </si>
  <si>
    <t>Difference = 9555.63</t>
  </si>
  <si>
    <t>On average, smokers pay $9555.63 more in charges</t>
  </si>
  <si>
    <t>Regression Results (Step 3):</t>
  </si>
  <si>
    <t>Intercept (b0) = -1593.75</t>
  </si>
  <si>
    <t>age (b1) = 277.61</t>
  </si>
  <si>
    <t>smoker_dummy (b2) = 13204.16</t>
  </si>
  <si>
    <t>R-squared = 0.3151</t>
  </si>
  <si>
    <t>Interpretation (Step 3):</t>
  </si>
  <si>
    <t>Q1: b2 represents the average difference in charges</t>
  </si>
  <si>
    <t xml:space="preserve">    between smokers and non-smokers, controlling for age.</t>
  </si>
  <si>
    <t>Q2: Y_hat(30, non-smoker) = -1593.75 + 277.61(30) + 13204.16(0)</t>
  </si>
  <si>
    <t xml:space="preserve">                         = 6734.42</t>
  </si>
  <si>
    <t>Q3: Y_hat(30, smoker) = -1593.75 + 277.61(30) + 13204.16(1)</t>
  </si>
  <si>
    <t xml:space="preserve">                      = 19938.58</t>
  </si>
  <si>
    <t>Q4: Difference = 19938.58 - 6734.42 = 13204.16 = b2</t>
  </si>
  <si>
    <t>Key Insight: The categorical coefficient directly equals</t>
  </si>
  <si>
    <t>the difference in expected Y between categories (controlling for age).</t>
  </si>
  <si>
    <t>Step4_Multilevel_Dummy Answers:</t>
  </si>
  <si>
    <t>Dummy Coding (Reference = North):</t>
  </si>
  <si>
    <t>i=1: region=North → D_South=0, D_Central=0</t>
  </si>
  <si>
    <t>i=2: region=South → D_South=1, D_Central=0</t>
  </si>
  <si>
    <t>i=3: region=Central → D_South=0, D_Central=1</t>
  </si>
  <si>
    <t>i=4: region=North → D_South=0, D_Central=0</t>
  </si>
  <si>
    <t>i=5: region=South → D_South=1, D_Central=0</t>
  </si>
  <si>
    <t>i=6: region=Central → D_South=0, D_Central=1</t>
  </si>
  <si>
    <t>i=7: region=South → D_South=1, D_Central=0</t>
  </si>
  <si>
    <t>i=8: region=North → D_South=0, D_Central=0</t>
  </si>
  <si>
    <t>Interpretation Questions:</t>
  </si>
  <si>
    <t>Q1. β₂=4200 means: Compared to NORTH region,</t>
  </si>
  <si>
    <t xml:space="preserve">    the South region has 4200 higher salary on average</t>
  </si>
  <si>
    <t>Q2. North, 5 years: 28500 + 2800×5 = 28500 + 14000 = 42500</t>
  </si>
  <si>
    <t>Q3. South, 5 years: 28500 + 2800×5 + 4200 = 42500 + 4200 = 46700</t>
  </si>
  <si>
    <t>Partial F-test:</t>
  </si>
  <si>
    <t>Step 1: SSE_R - SSE_F = 198000000 - 145000000 = 53000000</t>
  </si>
  <si>
    <t>Step 2: (SSE_R - SSE_F) / q = 53000000 / 2 = 26500000</t>
  </si>
  <si>
    <t>Step 3: MSE_F = SSE_F / (n-p_F) = 145000000 / 4 = 36250000</t>
  </si>
  <si>
    <t>Step 4: F = 26500000 / 36250000 = 0.731</t>
  </si>
  <si>
    <t>Conclusion: F=0.731 &lt; F_crit=6.94, so NOT significant</t>
  </si>
  <si>
    <t xml:space="preserve">    (Region as a whole is NOT statistically significant)</t>
  </si>
  <si>
    <t>Step5_Numeric_Coding_Trap Answers:</t>
  </si>
  <si>
    <t>Prediction Comparison (5 years experience):</t>
  </si>
  <si>
    <t>North (code=1):</t>
  </si>
  <si>
    <t xml:space="preserve">  Numeric: 31200 + 2750×5 + (-1050)×1 = 31200 + 13750 - 1050 = 43900</t>
  </si>
  <si>
    <t xml:space="preserve">  Dummy: 28500 + 2800×5 + 4200×0 + (-2100)×0 = 28500 + 14000 = 42500</t>
  </si>
  <si>
    <t xml:space="preserve">  Difference: 43900 - 42500 = 1400</t>
  </si>
  <si>
    <t>South (code=2):</t>
  </si>
  <si>
    <t xml:space="preserve">  Numeric: 31200 + 2750×5 + (-1050)×2 = 31200 + 13750 - 2100 = 42850</t>
  </si>
  <si>
    <t xml:space="preserve">  Dummy: 28500 + 2800×5 + 4200×1 + (-2100)×0 = 28500 + 14000 + 4200 = 46700</t>
  </si>
  <si>
    <t xml:space="preserve">  Difference: 42850 - 46700 = -3850</t>
  </si>
  <si>
    <t>Central (code=3):</t>
  </si>
  <si>
    <t xml:space="preserve">  Numeric: 31200 + 2750×5 + (-1050)×3 = 31200 + 13750 - 3150 = 41800</t>
  </si>
  <si>
    <t xml:space="preserve">  Dummy: 28500 + 2800×5 + 4200×0 + (-2100)×1 = 28500 + 14000 - 2100 = 40400</t>
  </si>
  <si>
    <t xml:space="preserve">  Difference: 41800 - 40400 = 1400</t>
  </si>
  <si>
    <t>Summary Questions:</t>
  </si>
  <si>
    <t>Q1. Numeric code: South-North = -1050 (forced by coefficient)</t>
  </si>
  <si>
    <t>Q2. Dummy code: South-North = 4200 (freely estimated)</t>
  </si>
  <si>
    <t>Q3. Answer: a) assumes equal spacing</t>
  </si>
  <si>
    <t xml:space="preserve">    Numeric coding forces the difference between consecutive</t>
  </si>
  <si>
    <t xml:space="preserve">    categories to be equal, which is inappropriate for nominal data.</t>
  </si>
  <si>
    <t>STRUCTURED ANSWER KEY (for conditional formatting)</t>
  </si>
  <si>
    <t>Cell</t>
  </si>
  <si>
    <t>Answer</t>
  </si>
  <si>
    <t>C21</t>
  </si>
  <si>
    <t>C22</t>
  </si>
  <si>
    <t>C23</t>
  </si>
  <si>
    <t>C24</t>
  </si>
  <si>
    <t>C25</t>
  </si>
  <si>
    <t>C26</t>
  </si>
  <si>
    <t>C27</t>
  </si>
  <si>
    <t>C28</t>
  </si>
  <si>
    <t>B16</t>
  </si>
  <si>
    <t>B24</t>
  </si>
  <si>
    <t>B29</t>
  </si>
  <si>
    <t>B17</t>
  </si>
  <si>
    <t>B18</t>
  </si>
  <si>
    <t>B20</t>
  </si>
  <si>
    <t>B32</t>
  </si>
  <si>
    <t>B35</t>
  </si>
  <si>
    <t>D27</t>
  </si>
  <si>
    <t>E27</t>
  </si>
  <si>
    <t>D28</t>
  </si>
  <si>
    <t>E28</t>
  </si>
  <si>
    <t>D29</t>
  </si>
  <si>
    <t>E29</t>
  </si>
  <si>
    <t>D30</t>
  </si>
  <si>
    <t>E30</t>
  </si>
  <si>
    <t>D31</t>
  </si>
  <si>
    <t>E31</t>
  </si>
  <si>
    <t>D32</t>
  </si>
  <si>
    <t>E32</t>
  </si>
  <si>
    <t>D33</t>
  </si>
  <si>
    <t>E33</t>
  </si>
  <si>
    <t>D34</t>
  </si>
  <si>
    <t>E34</t>
  </si>
  <si>
    <t>C75</t>
  </si>
  <si>
    <t>C76</t>
  </si>
  <si>
    <t>C77</t>
  </si>
  <si>
    <t>NOT</t>
  </si>
  <si>
    <t>C78</t>
  </si>
  <si>
    <t>D81</t>
  </si>
  <si>
    <t>B54</t>
  </si>
  <si>
    <t>C54</t>
  </si>
  <si>
    <t>D54</t>
  </si>
  <si>
    <t>B55</t>
  </si>
  <si>
    <t>C55</t>
  </si>
  <si>
    <t>D55</t>
  </si>
  <si>
    <t>B56</t>
  </si>
  <si>
    <t>C56</t>
  </si>
  <si>
    <t>D56</t>
  </si>
  <si>
    <t>ADDITIONAL ANSWERS</t>
  </si>
  <si>
    <t>B26</t>
  </si>
  <si>
    <t>difference in charges between smokers and non-smokers</t>
  </si>
  <si>
    <t>B65</t>
  </si>
  <si>
    <t>B68</t>
  </si>
  <si>
    <t>B71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</si>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</sst>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rgb="FF505050"/>
      <name val="Calibri"/>
    </font>
    <font/>
    <font>
      <sz val="11.0"/>
      <color theme="1"/>
      <name val="Calibri"/>
    </font>
    <font>
      <b/>
      <sz val="14.0"/>
      <color rgb="FF4472C4"/>
      <name val="Calibri"/>
    </font>
    <font>
      <b/>
      <sz val="11.0"/>
      <color theme="1"/>
      <name val="Cambria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sz val="11.0"/>
      <color rgb="FF505050"/>
      <name val="Cambria"/>
    </font>
    <font>
      <b/>
      <color rgb="FFFFFFFF"/>
      <name val="Calibri"/>
    </font>
    <font>
      <sz val="11.0"/>
      <color rgb="FFFFFFFF"/>
      <name val="Calibri"/>
    </font>
    <font>
      <b/>
      <sz val="11.0"/>
      <color rgb="FFFFFFFF"/>
      <name val="Cambria"/>
    </font>
    <font>
      <b/>
      <sz val="14.0"/>
      <color theme="1"/>
      <name val="Calibri"/>
    </font>
    <font>
      <i/>
      <color rgb="FF1F4E79"/>
      <name val="Calibri"/>
    </font>
    <font>
      <i/>
      <color rgb="FF666666"/>
      <name val="Calibri"/>
    </font>
    <font>
      <b/>
      <color rgb="FFC00000"/>
      <name val="Calibri"/>
    </font>
    <font>
      <b/>
      <color rgb="FFFFFFFF"/>
      <name val="Calibri"/>
      <scheme val="minor"/>
    </font>
    <font>
      <b/>
      <sz val="14.0"/>
      <color rgb="FF4472C4"/>
      <name val="Cambria"/>
    </font>
  </fonts>
  <fills count="13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4" fillId="3" fontId="8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0" fillId="0" fontId="9" numFmtId="0" xfId="0" applyFont="1"/>
    <xf borderId="0" fillId="0" fontId="9" numFmtId="0" xfId="0" applyAlignment="1" applyFont="1">
      <alignment vertical="bottom"/>
    </xf>
    <xf borderId="5" fillId="4" fontId="3" numFmtId="0" xfId="0" applyBorder="1" applyFill="1" applyFont="1"/>
    <xf borderId="5" fillId="5" fontId="3" numFmtId="0" xfId="0" applyAlignment="1" applyBorder="1" applyFill="1" applyFont="1">
      <alignment vertical="bottom"/>
    </xf>
    <xf borderId="5" fillId="6" fontId="3" numFmtId="0" xfId="0" applyAlignment="1" applyBorder="1" applyFill="1" applyFont="1">
      <alignment vertical="bottom"/>
    </xf>
    <xf borderId="5" fillId="7" fontId="3" numFmtId="0" xfId="0" applyAlignment="1" applyBorder="1" applyFill="1" applyFont="1">
      <alignment vertical="bottom"/>
    </xf>
    <xf borderId="5" fillId="8" fontId="3" numFmtId="0" xfId="0" applyAlignment="1" applyBorder="1" applyFill="1" applyFont="1">
      <alignment vertical="bottom"/>
    </xf>
    <xf borderId="1" fillId="2" fontId="10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5" fillId="9" fontId="11" numFmtId="0" xfId="0" applyAlignment="1" applyBorder="1" applyFill="1" applyFont="1">
      <alignment horizontal="center" vertical="center"/>
    </xf>
    <xf borderId="5" fillId="9" fontId="12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4" fillId="10" fontId="5" numFmtId="0" xfId="0" applyAlignment="1" applyBorder="1" applyFill="1" applyFont="1">
      <alignment vertical="bottom"/>
    </xf>
    <xf borderId="5" fillId="9" fontId="13" numFmtId="0" xfId="0" applyAlignment="1" applyBorder="1" applyFont="1">
      <alignment horizontal="center" vertical="center"/>
    </xf>
    <xf borderId="5" fillId="9" fontId="11" numFmtId="0" xfId="0" applyAlignment="1" applyBorder="1" applyFont="1">
      <alignment horizontal="center"/>
    </xf>
    <xf borderId="5" fillId="6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4" fillId="3" fontId="14" numFmtId="0" xfId="0" applyAlignment="1" applyBorder="1" applyFont="1">
      <alignment vertical="bottom"/>
    </xf>
    <xf borderId="0" fillId="0" fontId="15" numFmtId="0" xfId="0" applyFont="1"/>
    <xf borderId="4" fillId="10" fontId="9" numFmtId="0" xfId="0" applyAlignment="1" applyBorder="1" applyFont="1">
      <alignment vertical="bottom"/>
    </xf>
    <xf borderId="5" fillId="6" fontId="3" numFmtId="0" xfId="0" applyAlignment="1" applyBorder="1" applyFont="1">
      <alignment horizontal="right"/>
    </xf>
    <xf borderId="5" fillId="0" fontId="16" numFmtId="0" xfId="0" applyAlignment="1" applyBorder="1" applyFont="1">
      <alignment vertical="bottom"/>
    </xf>
    <xf borderId="4" fillId="3" fontId="15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5" fillId="9" fontId="11" numFmtId="0" xfId="0" applyAlignment="1" applyBorder="1" applyFont="1">
      <alignment horizontal="center" vertical="bottom"/>
    </xf>
    <xf borderId="5" fillId="9" fontId="13" numFmtId="0" xfId="0" applyAlignment="1" applyBorder="1" applyFont="1">
      <alignment horizontal="center" vertical="bottom"/>
    </xf>
    <xf borderId="5" fillId="9" fontId="12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2" fontId="3" numFmtId="0" xfId="0" applyBorder="1" applyFont="1"/>
    <xf borderId="1" fillId="3" fontId="9" numFmtId="0" xfId="0" applyBorder="1" applyFont="1"/>
    <xf borderId="5" fillId="9" fontId="18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1" fillId="5" fontId="9" numFmtId="0" xfId="0" applyBorder="1" applyFont="1"/>
    <xf borderId="5" fillId="9" fontId="12" numFmtId="0" xfId="0" applyAlignment="1" applyBorder="1" applyFont="1">
      <alignment horizontal="center"/>
    </xf>
    <xf borderId="0" fillId="9" fontId="12" numFmtId="0" xfId="0" applyAlignment="1" applyFont="1">
      <alignment horizontal="center"/>
    </xf>
    <xf borderId="1" fillId="11" fontId="9" numFmtId="0" xfId="0" applyBorder="1" applyFill="1" applyFont="1"/>
    <xf borderId="0" fillId="6" fontId="3" numFmtId="0" xfId="0" applyFont="1"/>
    <xf borderId="0" fillId="6" fontId="3" numFmtId="0" xfId="0" applyAlignment="1" applyFont="1">
      <alignment vertical="bottom"/>
    </xf>
    <xf borderId="5" fillId="6" fontId="3" numFmtId="0" xfId="0" applyBorder="1" applyFont="1"/>
    <xf borderId="4" fillId="6" fontId="3" numFmtId="0" xfId="0" applyBorder="1" applyFont="1"/>
    <xf borderId="1" fillId="12" fontId="9" numFmtId="0" xfId="0" applyBorder="1" applyFill="1" applyFont="1"/>
    <xf borderId="5" fillId="9" fontId="18" numFmtId="0" xfId="0" applyAlignment="1" applyBorder="1" applyFont="1">
      <alignment horizontal="left"/>
    </xf>
    <xf borderId="5" fillId="4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10" fontId="3" numFmtId="0" xfId="0" applyFont="1"/>
    <xf borderId="4" fillId="10" fontId="3" numFmtId="0" xfId="0" applyBorder="1" applyFont="1"/>
    <xf borderId="0" fillId="0" fontId="19" numFmtId="0" xfId="0" applyAlignment="1" applyFont="1">
      <alignment vertical="bottom"/>
    </xf>
    <xf borderId="4" fillId="3" fontId="9" numFmtId="0" xfId="0" applyBorder="1" applyFont="1"/>
    <xf borderId="5" fillId="7" fontId="3" numFmtId="0" xfId="0" applyBorder="1" applyFont="1"/>
    <xf borderId="5" fillId="0" fontId="3" numFmtId="0" xfId="0" applyAlignment="1" applyBorder="1" applyFont="1">
      <alignment vertical="bottom"/>
    </xf>
    <xf borderId="4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50.0"/>
    <col customWidth="1" min="3" max="6" width="8.71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 t="s">
        <v>1</v>
      </c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2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5" t="s">
        <v>3</v>
      </c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" t="s">
        <v>4</v>
      </c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 t="s">
        <v>5</v>
      </c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6</v>
      </c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" t="s">
        <v>7</v>
      </c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" t="s">
        <v>8</v>
      </c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" t="s">
        <v>9</v>
      </c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" t="s">
        <v>10</v>
      </c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 t="s">
        <v>11</v>
      </c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9" t="s">
        <v>12</v>
      </c>
      <c r="B21" s="10" t="s">
        <v>13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9" t="s">
        <v>14</v>
      </c>
      <c r="B22" s="10" t="s">
        <v>15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9" t="s">
        <v>16</v>
      </c>
      <c r="B23" s="11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9" t="s">
        <v>18</v>
      </c>
      <c r="B24" s="10" t="s">
        <v>19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9" t="s">
        <v>20</v>
      </c>
      <c r="B25" s="10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2" t="s">
        <v>22</v>
      </c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23</v>
      </c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" t="s">
        <v>24</v>
      </c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5" t="s">
        <v>25</v>
      </c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5" t="s">
        <v>26</v>
      </c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3" t="s">
        <v>27</v>
      </c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4"/>
      <c r="B35" s="5" t="s">
        <v>28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5" t="s">
        <v>29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6"/>
      <c r="B37" s="5" t="s">
        <v>30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/>
      <c r="B38" s="5" t="s">
        <v>31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/>
      <c r="B39" s="5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33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 t="s">
        <v>34</v>
      </c>
      <c r="B44" s="5" t="s">
        <v>35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 t="s">
        <v>36</v>
      </c>
      <c r="B45" s="5" t="s">
        <v>37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 t="s">
        <v>38</v>
      </c>
      <c r="B46" s="5" t="s">
        <v>39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 t="s">
        <v>40</v>
      </c>
      <c r="B47" s="5" t="s">
        <v>41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 t="s">
        <v>42</v>
      </c>
      <c r="B48" s="5" t="s">
        <v>43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44</v>
      </c>
      <c r="B49" s="5" t="s">
        <v>45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21.43"/>
    <col customWidth="1" min="4" max="5" width="18.0"/>
    <col customWidth="1" min="6" max="6" width="8.71"/>
  </cols>
  <sheetData>
    <row r="1" ht="15.0" customHeight="1">
      <c r="A1" s="19" t="s">
        <v>46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0" t="s">
        <v>47</v>
      </c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1" t="s">
        <v>48</v>
      </c>
      <c r="B5" s="21" t="s">
        <v>49</v>
      </c>
      <c r="C5" s="21" t="s">
        <v>50</v>
      </c>
      <c r="D5" s="21" t="s">
        <v>51</v>
      </c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2">
        <v>1.0</v>
      </c>
      <c r="B6" s="23">
        <v>19.0</v>
      </c>
      <c r="C6" s="23" t="s">
        <v>52</v>
      </c>
      <c r="D6" s="23">
        <v>16884.92</v>
      </c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2">
        <v>2.0</v>
      </c>
      <c r="B7" s="23">
        <v>18.0</v>
      </c>
      <c r="C7" s="23" t="s">
        <v>53</v>
      </c>
      <c r="D7" s="23">
        <v>1725.55</v>
      </c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2">
        <v>3.0</v>
      </c>
      <c r="B8" s="23">
        <v>28.0</v>
      </c>
      <c r="C8" s="23" t="s">
        <v>53</v>
      </c>
      <c r="D8" s="23">
        <v>4449.46</v>
      </c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2">
        <v>4.0</v>
      </c>
      <c r="B9" s="23">
        <v>33.0</v>
      </c>
      <c r="C9" s="23" t="s">
        <v>53</v>
      </c>
      <c r="D9" s="23">
        <v>21984.47</v>
      </c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2">
        <v>5.0</v>
      </c>
      <c r="B10" s="23">
        <v>32.0</v>
      </c>
      <c r="C10" s="23" t="s">
        <v>53</v>
      </c>
      <c r="D10" s="23">
        <v>3866.86</v>
      </c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2">
        <v>6.0</v>
      </c>
      <c r="B11" s="23">
        <v>31.0</v>
      </c>
      <c r="C11" s="23" t="s">
        <v>53</v>
      </c>
      <c r="D11" s="23">
        <v>3756.62</v>
      </c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2">
        <v>7.0</v>
      </c>
      <c r="B12" s="23">
        <v>46.0</v>
      </c>
      <c r="C12" s="23" t="s">
        <v>53</v>
      </c>
      <c r="D12" s="23">
        <v>8240.59</v>
      </c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>
        <v>8.0</v>
      </c>
      <c r="B13" s="23">
        <v>37.0</v>
      </c>
      <c r="C13" s="23" t="s">
        <v>53</v>
      </c>
      <c r="D13" s="23">
        <v>7281.51</v>
      </c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5"/>
      <c r="C15" s="5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4" t="s">
        <v>54</v>
      </c>
      <c r="B16" s="5"/>
      <c r="C16" s="5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" t="s">
        <v>55</v>
      </c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5" t="s">
        <v>48</v>
      </c>
      <c r="B20" s="25" t="s">
        <v>56</v>
      </c>
      <c r="C20" s="25" t="s">
        <v>57</v>
      </c>
      <c r="D20" s="25" t="s">
        <v>58</v>
      </c>
      <c r="E20" s="26" t="s">
        <v>59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2">
        <v>1.0</v>
      </c>
      <c r="B21" s="23">
        <v>19.0</v>
      </c>
      <c r="C21" s="27"/>
      <c r="D21" s="23">
        <v>16884.92</v>
      </c>
      <c r="E21" s="28" t="str">
        <f>IF(C21="","",IF(C21=1,"✓","✗"))</f>
        <v/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2">
        <v>2.0</v>
      </c>
      <c r="B22" s="23">
        <v>18.0</v>
      </c>
      <c r="C22" s="27"/>
      <c r="D22" s="23">
        <v>1725.55</v>
      </c>
      <c r="E22" s="28" t="str">
        <f t="shared" ref="E22:E28" si="1">IF(C22="","",IF(C22=0,"✓","✗"))</f>
        <v/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2">
        <v>3.0</v>
      </c>
      <c r="B23" s="23">
        <v>28.0</v>
      </c>
      <c r="C23" s="27"/>
      <c r="D23" s="23">
        <v>4449.46</v>
      </c>
      <c r="E23" s="28" t="str">
        <f t="shared" si="1"/>
        <v/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2">
        <v>4.0</v>
      </c>
      <c r="B24" s="23">
        <v>33.0</v>
      </c>
      <c r="C24" s="27"/>
      <c r="D24" s="23">
        <v>21984.47</v>
      </c>
      <c r="E24" s="28" t="str">
        <f t="shared" si="1"/>
        <v/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22">
        <v>5.0</v>
      </c>
      <c r="B25" s="23">
        <v>32.0</v>
      </c>
      <c r="C25" s="27"/>
      <c r="D25" s="23">
        <v>3866.86</v>
      </c>
      <c r="E25" s="28" t="str">
        <f t="shared" si="1"/>
        <v/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2">
        <v>6.0</v>
      </c>
      <c r="B26" s="23">
        <v>31.0</v>
      </c>
      <c r="C26" s="27"/>
      <c r="D26" s="23">
        <v>3756.62</v>
      </c>
      <c r="E26" s="28" t="str">
        <f t="shared" si="1"/>
        <v/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2">
        <v>7.0</v>
      </c>
      <c r="B27" s="23">
        <v>46.0</v>
      </c>
      <c r="C27" s="27"/>
      <c r="D27" s="23">
        <v>8240.59</v>
      </c>
      <c r="E27" s="28" t="str">
        <f t="shared" si="1"/>
        <v/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2">
        <v>8.0</v>
      </c>
      <c r="B28" s="23">
        <v>37.0</v>
      </c>
      <c r="C28" s="27"/>
      <c r="D28" s="23">
        <v>7281.51</v>
      </c>
      <c r="E28" s="28" t="str">
        <f t="shared" si="1"/>
        <v/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6" width="8.71"/>
  </cols>
  <sheetData>
    <row r="1" ht="15.0" customHeight="1">
      <c r="A1" s="19" t="s">
        <v>60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9" t="s">
        <v>61</v>
      </c>
      <c r="B3" s="5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0" t="s">
        <v>62</v>
      </c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1" t="s">
        <v>63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1" t="s">
        <v>48</v>
      </c>
      <c r="B7" s="21" t="s">
        <v>49</v>
      </c>
      <c r="C7" s="21" t="s">
        <v>51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2">
        <v>1.0</v>
      </c>
      <c r="B8" s="23">
        <v>18.0</v>
      </c>
      <c r="C8" s="23">
        <v>1725.55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2">
        <v>2.0</v>
      </c>
      <c r="B9" s="23">
        <v>28.0</v>
      </c>
      <c r="C9" s="23">
        <v>4449.46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2">
        <v>3.0</v>
      </c>
      <c r="B10" s="23">
        <v>33.0</v>
      </c>
      <c r="C10" s="23">
        <v>21984.47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2">
        <v>4.0</v>
      </c>
      <c r="B11" s="23">
        <v>32.0</v>
      </c>
      <c r="C11" s="23">
        <v>3866.86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2">
        <v>5.0</v>
      </c>
      <c r="B12" s="23">
        <v>31.0</v>
      </c>
      <c r="C12" s="23">
        <v>3756.62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>
        <v>6.0</v>
      </c>
      <c r="B13" s="23">
        <v>46.0</v>
      </c>
      <c r="C13" s="23">
        <v>8240.59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2">
        <v>7.0</v>
      </c>
      <c r="B14" s="23">
        <v>37.0</v>
      </c>
      <c r="C14" s="23">
        <v>7281.51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" t="s">
        <v>64</v>
      </c>
      <c r="B16" s="32"/>
      <c r="C16" s="33" t="s">
        <v>65</v>
      </c>
      <c r="D16" s="28" t="str">
        <f>IF(B16="","",IF(ABS(B16-AVERAGE(C8:C14))&lt;0.01,"✓","✗"))</f>
        <v/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5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1" t="s">
        <v>66</v>
      </c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1" t="s">
        <v>48</v>
      </c>
      <c r="B21" s="21" t="s">
        <v>49</v>
      </c>
      <c r="C21" s="21" t="s">
        <v>51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2">
        <v>1.0</v>
      </c>
      <c r="B22" s="23">
        <v>19.0</v>
      </c>
      <c r="C22" s="23">
        <v>16884.92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5" t="s">
        <v>64</v>
      </c>
      <c r="B24" s="32"/>
      <c r="C24" s="33" t="s">
        <v>67</v>
      </c>
      <c r="D24" s="28" t="str">
        <f>IF(B24="","",IF(ABS(B24-AVERAGE(C22))&lt;0.01,"✓","✗"))</f>
        <v/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31" t="s">
        <v>68</v>
      </c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 t="s">
        <v>69</v>
      </c>
      <c r="B29" s="32"/>
      <c r="C29" s="28" t="str">
        <f>IF(B29="","",IF(ABS(B29-(B24-B16))&lt;0.01,"✓","✗"))</f>
        <v/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34" t="s">
        <v>70</v>
      </c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3" width="15.0"/>
    <col customWidth="1" min="4" max="5" width="12.0"/>
    <col customWidth="1" min="6" max="6" width="8.71"/>
  </cols>
  <sheetData>
    <row r="1" ht="15.0" customHeight="1">
      <c r="A1" s="19" t="s">
        <v>71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72</v>
      </c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" t="s">
        <v>73</v>
      </c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5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5" t="s">
        <v>74</v>
      </c>
      <c r="B7" s="5"/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C8" s="5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7" t="s">
        <v>75</v>
      </c>
      <c r="B9" s="5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76</v>
      </c>
      <c r="B10" s="5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" t="s">
        <v>77</v>
      </c>
      <c r="B11" s="5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78</v>
      </c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7" t="s">
        <v>79</v>
      </c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6" t="s">
        <v>80</v>
      </c>
      <c r="B15" s="37" t="s">
        <v>81</v>
      </c>
      <c r="C15" s="37" t="s">
        <v>82</v>
      </c>
      <c r="D15" s="37" t="s">
        <v>83</v>
      </c>
      <c r="E15" s="37" t="s">
        <v>84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8" t="s">
        <v>85</v>
      </c>
      <c r="B16" s="27"/>
      <c r="C16" s="27"/>
      <c r="D16" s="27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8" t="s">
        <v>86</v>
      </c>
      <c r="B17" s="27"/>
      <c r="C17" s="27"/>
      <c r="D17" s="27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8" t="s">
        <v>87</v>
      </c>
      <c r="B18" s="27"/>
      <c r="C18" s="27"/>
      <c r="D18" s="27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9" t="s">
        <v>88</v>
      </c>
      <c r="B20" s="16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7" t="s">
        <v>89</v>
      </c>
      <c r="B23" s="5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7" t="s">
        <v>90</v>
      </c>
      <c r="B25" s="5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" t="s">
        <v>91</v>
      </c>
      <c r="B26" s="16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7" t="s">
        <v>92</v>
      </c>
      <c r="B28" s="5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0" t="s">
        <v>93</v>
      </c>
      <c r="B29" s="16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7" t="s">
        <v>94</v>
      </c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0" t="s">
        <v>95</v>
      </c>
      <c r="B32" s="16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7" t="s">
        <v>96</v>
      </c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0" t="s">
        <v>97</v>
      </c>
      <c r="B35" s="16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7" t="s">
        <v>98</v>
      </c>
      <c r="B37" s="5"/>
      <c r="C37" s="5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5" t="s">
        <v>99</v>
      </c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5" t="s">
        <v>100</v>
      </c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5"/>
      <c r="D229" s="5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5"/>
      <c r="D230" s="5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5"/>
      <c r="D231" s="5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5"/>
      <c r="D232" s="5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5"/>
      <c r="C233" s="5"/>
      <c r="D233" s="5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5"/>
      <c r="C234" s="5"/>
      <c r="D234" s="5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5"/>
      <c r="C235" s="5"/>
      <c r="D235" s="5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5"/>
      <c r="C236" s="5"/>
      <c r="D236" s="5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5"/>
      <c r="C237" s="5"/>
      <c r="D237" s="5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5"/>
      <c r="C238" s="5"/>
      <c r="D238" s="5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5"/>
      <c r="C239" s="5"/>
      <c r="D239" s="5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8.57"/>
    <col customWidth="1" min="3" max="3" width="12.0"/>
    <col customWidth="1" min="4" max="4" width="15.71"/>
    <col customWidth="1" min="5" max="6" width="12.0"/>
    <col customWidth="1" min="7" max="7" width="15.0"/>
    <col customWidth="1" min="8" max="10" width="8.71"/>
  </cols>
  <sheetData>
    <row r="1">
      <c r="A1" s="41" t="s">
        <v>101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2" t="s">
        <v>102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103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104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2" t="s">
        <v>105</v>
      </c>
      <c r="B8" s="2"/>
      <c r="C8" s="2"/>
      <c r="D8" s="2"/>
      <c r="E8" s="2"/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48</v>
      </c>
      <c r="B10" s="43" t="s">
        <v>106</v>
      </c>
      <c r="C10" s="26" t="s">
        <v>107</v>
      </c>
      <c r="D10" s="43" t="s">
        <v>108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3">
        <v>1.0</v>
      </c>
      <c r="B11" s="44">
        <v>5.0</v>
      </c>
      <c r="C11" s="44" t="s">
        <v>109</v>
      </c>
      <c r="D11" s="44">
        <v>45000.0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3">
        <v>2.0</v>
      </c>
      <c r="B12" s="44">
        <v>8.0</v>
      </c>
      <c r="C12" s="44" t="s">
        <v>110</v>
      </c>
      <c r="D12" s="44">
        <v>52000.0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3">
        <v>3.0</v>
      </c>
      <c r="B13" s="44">
        <v>3.0</v>
      </c>
      <c r="C13" s="44" t="s">
        <v>111</v>
      </c>
      <c r="D13" s="44">
        <v>38000.0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3">
        <v>4.0</v>
      </c>
      <c r="B14" s="44">
        <v>10.0</v>
      </c>
      <c r="C14" s="44" t="s">
        <v>109</v>
      </c>
      <c r="D14" s="44">
        <v>58000.0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3">
        <v>5.0</v>
      </c>
      <c r="B15" s="44">
        <v>6.0</v>
      </c>
      <c r="C15" s="44" t="s">
        <v>110</v>
      </c>
      <c r="D15" s="44">
        <v>48000.0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3">
        <v>6.0</v>
      </c>
      <c r="B16" s="44">
        <v>4.0</v>
      </c>
      <c r="C16" s="44" t="s">
        <v>111</v>
      </c>
      <c r="D16" s="44">
        <v>41000.0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3">
        <v>7.0</v>
      </c>
      <c r="B17" s="44">
        <v>12.0</v>
      </c>
      <c r="C17" s="44" t="s">
        <v>110</v>
      </c>
      <c r="D17" s="44">
        <v>65000.0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3">
        <v>8.0</v>
      </c>
      <c r="B18" s="44">
        <v>7.0</v>
      </c>
      <c r="C18" s="44" t="s">
        <v>109</v>
      </c>
      <c r="D18" s="44">
        <v>50000.0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2" t="s">
        <v>112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5" t="s">
        <v>113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114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115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6" t="s">
        <v>48</v>
      </c>
      <c r="B26" s="26" t="s">
        <v>106</v>
      </c>
      <c r="C26" s="26" t="s">
        <v>107</v>
      </c>
      <c r="D26" s="26" t="s">
        <v>116</v>
      </c>
      <c r="E26" s="26" t="s">
        <v>117</v>
      </c>
      <c r="F26" s="26" t="s">
        <v>108</v>
      </c>
      <c r="G26" s="26" t="s">
        <v>59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6">
        <v>1.0</v>
      </c>
      <c r="B27" s="44">
        <v>5.0</v>
      </c>
      <c r="C27" s="44" t="s">
        <v>109</v>
      </c>
      <c r="D27" s="27"/>
      <c r="E27" s="27"/>
      <c r="F27" s="44">
        <v>45000.0</v>
      </c>
      <c r="G27" s="28" t="str">
        <f>IF(OR(D27="",E27=""),"",IF(AND(D27=0,E27=0),"✓","✗"))</f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6">
        <v>2.0</v>
      </c>
      <c r="B28" s="44">
        <v>8.0</v>
      </c>
      <c r="C28" s="44" t="s">
        <v>110</v>
      </c>
      <c r="D28" s="27"/>
      <c r="E28" s="27"/>
      <c r="F28" s="44">
        <v>52000.0</v>
      </c>
      <c r="G28" s="28" t="str">
        <f>IF(OR(D28="",E28=""),"",IF(AND(D28=1,E28=0),"✓","✗"))</f>
        <v/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6">
        <v>3.0</v>
      </c>
      <c r="B29" s="44">
        <v>3.0</v>
      </c>
      <c r="C29" s="44" t="s">
        <v>111</v>
      </c>
      <c r="D29" s="27"/>
      <c r="E29" s="27"/>
      <c r="F29" s="44">
        <v>38000.0</v>
      </c>
      <c r="G29" s="28" t="str">
        <f>IF(OR(D29="",E29=""),"",IF(AND(D29=0,E29=1),"✓","✗"))</f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6">
        <v>4.0</v>
      </c>
      <c r="B30" s="44">
        <v>10.0</v>
      </c>
      <c r="C30" s="44" t="s">
        <v>109</v>
      </c>
      <c r="D30" s="27"/>
      <c r="E30" s="27"/>
      <c r="F30" s="44">
        <v>58000.0</v>
      </c>
      <c r="G30" s="28" t="str">
        <f>IF(OR(D30="",E30=""),"",IF(AND(D30=0,E30=0),"✓","✗"))</f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6">
        <v>5.0</v>
      </c>
      <c r="B31" s="44">
        <v>6.0</v>
      </c>
      <c r="C31" s="44" t="s">
        <v>110</v>
      </c>
      <c r="D31" s="27"/>
      <c r="E31" s="27"/>
      <c r="F31" s="44">
        <v>48000.0</v>
      </c>
      <c r="G31" s="28" t="str">
        <f>IF(OR(D31="",E31=""),"",IF(AND(D31=1,E31=0),"✓","✗"))</f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6">
        <v>6.0</v>
      </c>
      <c r="B32" s="44">
        <v>4.0</v>
      </c>
      <c r="C32" s="44" t="s">
        <v>111</v>
      </c>
      <c r="D32" s="27"/>
      <c r="E32" s="27"/>
      <c r="F32" s="44">
        <v>41000.0</v>
      </c>
      <c r="G32" s="28" t="str">
        <f>IF(OR(D32="",E32=""),"",IF(AND(D32=0,E32=1),"✓","✗"))</f>
        <v/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6">
        <v>7.0</v>
      </c>
      <c r="B33" s="44">
        <v>12.0</v>
      </c>
      <c r="C33" s="44" t="s">
        <v>110</v>
      </c>
      <c r="D33" s="27"/>
      <c r="E33" s="27"/>
      <c r="F33" s="44">
        <v>65000.0</v>
      </c>
      <c r="G33" s="28" t="str">
        <f>IF(OR(D33="",E33=""),"",IF(AND(D33=1,E33=0),"✓","✗"))</f>
        <v/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6">
        <v>8.0</v>
      </c>
      <c r="B34" s="44">
        <v>7.0</v>
      </c>
      <c r="C34" s="44" t="s">
        <v>109</v>
      </c>
      <c r="D34" s="27"/>
      <c r="E34" s="27"/>
      <c r="F34" s="44">
        <v>50000.0</v>
      </c>
      <c r="G34" s="28" t="str">
        <f>IF(OR(D34="",E34=""),"",IF(AND(D34=0,E34=0),"✓","✗"))</f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2" t="s">
        <v>118</v>
      </c>
      <c r="B36" s="2"/>
      <c r="C36" s="2"/>
      <c r="D36" s="2"/>
      <c r="E36" s="2"/>
      <c r="F36" s="2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119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120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7"/>
      <c r="B42" s="26" t="s">
        <v>81</v>
      </c>
      <c r="C42" s="26" t="s">
        <v>82</v>
      </c>
      <c r="D42" s="26" t="s">
        <v>83</v>
      </c>
      <c r="E42" s="26" t="s">
        <v>84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6" t="s">
        <v>121</v>
      </c>
      <c r="B43" s="44">
        <v>28500.0</v>
      </c>
      <c r="C43" s="44">
        <v>2100.0</v>
      </c>
      <c r="D43" s="44">
        <v>13.57</v>
      </c>
      <c r="E43" s="44">
        <v>1.0E-4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6" t="s">
        <v>106</v>
      </c>
      <c r="B44" s="44">
        <v>2800.0</v>
      </c>
      <c r="C44" s="44">
        <v>180.0</v>
      </c>
      <c r="D44" s="44">
        <v>15.56</v>
      </c>
      <c r="E44" s="44">
        <v>5.0E-5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6" t="s">
        <v>116</v>
      </c>
      <c r="B45" s="44">
        <v>4200.0</v>
      </c>
      <c r="C45" s="44">
        <v>1500.0</v>
      </c>
      <c r="D45" s="44">
        <v>2.8</v>
      </c>
      <c r="E45" s="44">
        <v>0.038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6" t="s">
        <v>117</v>
      </c>
      <c r="B46" s="44">
        <v>-2100.0</v>
      </c>
      <c r="C46" s="44">
        <v>1600.0</v>
      </c>
      <c r="D46" s="44">
        <v>-1.31</v>
      </c>
      <c r="E46" s="44">
        <v>0.247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8" t="s">
        <v>122</v>
      </c>
      <c r="B48" s="2"/>
      <c r="C48" s="2"/>
      <c r="D48" s="2"/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123</v>
      </c>
      <c r="B50" s="49"/>
      <c r="C50" s="49"/>
      <c r="D50" s="4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0" t="s">
        <v>124</v>
      </c>
      <c r="B51" s="49"/>
      <c r="C51" s="49"/>
      <c r="D51" s="4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0" t="s">
        <v>125</v>
      </c>
      <c r="B52" s="49"/>
      <c r="C52" s="49"/>
      <c r="D52" s="4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126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127</v>
      </c>
      <c r="B55" s="49"/>
      <c r="C55" s="49"/>
      <c r="D55" s="4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128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129</v>
      </c>
      <c r="B58" s="49"/>
      <c r="C58" s="49"/>
      <c r="D58" s="49"/>
      <c r="E58" s="4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2" t="s">
        <v>130</v>
      </c>
      <c r="B61" s="2"/>
      <c r="C61" s="2"/>
      <c r="D61" s="2"/>
      <c r="E61" s="2"/>
      <c r="F61" s="2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131</v>
      </c>
      <c r="B63" s="4"/>
      <c r="C63" s="4"/>
      <c r="D63" s="4"/>
      <c r="E63" s="5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132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" t="s">
        <v>133</v>
      </c>
      <c r="C66" s="5">
        <v>1.45E8</v>
      </c>
      <c r="D66" s="5" t="s">
        <v>134</v>
      </c>
      <c r="E66" s="5" t="s">
        <v>135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136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" t="s">
        <v>137</v>
      </c>
      <c r="C69" s="5">
        <v>1.98E8</v>
      </c>
      <c r="D69" s="5" t="s">
        <v>138</v>
      </c>
      <c r="E69" s="5" t="s">
        <v>139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140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141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142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0" t="s">
        <v>143</v>
      </c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0" t="s">
        <v>144</v>
      </c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0" t="s">
        <v>145</v>
      </c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0" t="s">
        <v>146</v>
      </c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147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0" t="s">
        <v>148</v>
      </c>
      <c r="B81" s="49"/>
      <c r="C81" s="49"/>
      <c r="D81" s="52"/>
      <c r="E81" s="4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61:G61"/>
    <mergeCell ref="A75:B75"/>
    <mergeCell ref="A76:B76"/>
    <mergeCell ref="A77:B77"/>
    <mergeCell ref="A78:B78"/>
    <mergeCell ref="A1:G1"/>
    <mergeCell ref="A3:G3"/>
    <mergeCell ref="A8:G8"/>
    <mergeCell ref="A20:G20"/>
    <mergeCell ref="A22:F22"/>
    <mergeCell ref="A36:G36"/>
    <mergeCell ref="A48:F4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2.0"/>
    <col customWidth="1" min="3" max="3" width="14.0"/>
    <col customWidth="1" min="4" max="4" width="25.57"/>
    <col customWidth="1" min="5" max="6" width="14.0"/>
    <col customWidth="1" min="7" max="9" width="8.71"/>
  </cols>
  <sheetData>
    <row r="1">
      <c r="A1" s="41" t="s">
        <v>149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2" t="s">
        <v>150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2" t="s">
        <v>153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48</v>
      </c>
      <c r="B10" s="26" t="s">
        <v>106</v>
      </c>
      <c r="C10" s="26" t="s">
        <v>107</v>
      </c>
      <c r="D10" s="26" t="s">
        <v>154</v>
      </c>
      <c r="E10" s="26" t="s">
        <v>108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6">
        <v>1.0</v>
      </c>
      <c r="B11" s="44">
        <v>5.0</v>
      </c>
      <c r="C11" s="44" t="s">
        <v>109</v>
      </c>
      <c r="D11" s="44">
        <v>1.0</v>
      </c>
      <c r="E11" s="44">
        <v>45000.0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6">
        <v>2.0</v>
      </c>
      <c r="B12" s="44">
        <v>8.0</v>
      </c>
      <c r="C12" s="44" t="s">
        <v>110</v>
      </c>
      <c r="D12" s="44">
        <v>2.0</v>
      </c>
      <c r="E12" s="44">
        <v>52000.0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6">
        <v>3.0</v>
      </c>
      <c r="B13" s="44">
        <v>3.0</v>
      </c>
      <c r="C13" s="44" t="s">
        <v>111</v>
      </c>
      <c r="D13" s="44">
        <v>3.0</v>
      </c>
      <c r="E13" s="44">
        <v>38000.0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6">
        <v>4.0</v>
      </c>
      <c r="B14" s="44">
        <v>10.0</v>
      </c>
      <c r="C14" s="44" t="s">
        <v>109</v>
      </c>
      <c r="D14" s="44">
        <v>1.0</v>
      </c>
      <c r="E14" s="44">
        <v>58000.0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6">
        <v>5.0</v>
      </c>
      <c r="B15" s="44">
        <v>6.0</v>
      </c>
      <c r="C15" s="44" t="s">
        <v>110</v>
      </c>
      <c r="D15" s="44">
        <v>2.0</v>
      </c>
      <c r="E15" s="44">
        <v>48000.0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6">
        <v>6.0</v>
      </c>
      <c r="B16" s="44">
        <v>4.0</v>
      </c>
      <c r="C16" s="44" t="s">
        <v>111</v>
      </c>
      <c r="D16" s="44">
        <v>3.0</v>
      </c>
      <c r="E16" s="44">
        <v>41000.0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6">
        <v>7.0</v>
      </c>
      <c r="B17" s="44">
        <v>12.0</v>
      </c>
      <c r="C17" s="44" t="s">
        <v>110</v>
      </c>
      <c r="D17" s="44">
        <v>2.0</v>
      </c>
      <c r="E17" s="44">
        <v>65000.0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6">
        <v>8.0</v>
      </c>
      <c r="B18" s="44">
        <v>7.0</v>
      </c>
      <c r="C18" s="44" t="s">
        <v>109</v>
      </c>
      <c r="D18" s="44">
        <v>1.0</v>
      </c>
      <c r="E18" s="44">
        <v>50000.0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3" t="s">
        <v>155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156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157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7"/>
      <c r="B26" s="43" t="s">
        <v>81</v>
      </c>
      <c r="C26" s="43" t="s">
        <v>82</v>
      </c>
      <c r="D26" s="54" t="s">
        <v>158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6" t="s">
        <v>121</v>
      </c>
      <c r="B27" s="44">
        <v>31200.0</v>
      </c>
      <c r="C27" s="44">
        <v>2500.0</v>
      </c>
      <c r="D27" s="55" t="s">
        <v>159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6" t="s">
        <v>106</v>
      </c>
      <c r="B28" s="44">
        <v>2750.0</v>
      </c>
      <c r="C28" s="44">
        <v>200.0</v>
      </c>
      <c r="D28" s="55" t="s">
        <v>160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6" t="s">
        <v>154</v>
      </c>
      <c r="B29" s="44">
        <v>-1050.0</v>
      </c>
      <c r="C29" s="44">
        <v>800.0</v>
      </c>
      <c r="D29" s="55" t="s">
        <v>161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8" t="s">
        <v>162</v>
      </c>
      <c r="B31" s="2"/>
      <c r="C31" s="2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163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164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165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5" t="s">
        <v>166</v>
      </c>
      <c r="B36" s="2"/>
      <c r="C36" s="2"/>
      <c r="D36" s="2"/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167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168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7"/>
      <c r="B42" s="26" t="s">
        <v>81</v>
      </c>
      <c r="C42" s="26" t="s">
        <v>82</v>
      </c>
      <c r="D42" s="26" t="s">
        <v>158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6" t="s">
        <v>121</v>
      </c>
      <c r="B43" s="44">
        <v>28500.0</v>
      </c>
      <c r="C43" s="44">
        <v>2100.0</v>
      </c>
      <c r="D43" s="55" t="s">
        <v>169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6" t="s">
        <v>106</v>
      </c>
      <c r="B44" s="44">
        <v>2800.0</v>
      </c>
      <c r="C44" s="44">
        <v>180.0</v>
      </c>
      <c r="D44" s="55" t="s">
        <v>160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6" t="s">
        <v>116</v>
      </c>
      <c r="B45" s="44">
        <v>4200.0</v>
      </c>
      <c r="C45" s="44">
        <v>1500.0</v>
      </c>
      <c r="D45" s="55" t="s">
        <v>170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6" t="s">
        <v>117</v>
      </c>
      <c r="B46" s="44">
        <v>-2100.0</v>
      </c>
      <c r="C46" s="44">
        <v>1600.0</v>
      </c>
      <c r="D46" s="55" t="s">
        <v>171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5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2" t="s">
        <v>172</v>
      </c>
      <c r="B49" s="2"/>
      <c r="C49" s="2"/>
      <c r="D49" s="2"/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173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7"/>
      <c r="B53" s="26" t="s">
        <v>174</v>
      </c>
      <c r="C53" s="26" t="s">
        <v>175</v>
      </c>
      <c r="D53" s="26" t="s">
        <v>176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6" t="s">
        <v>177</v>
      </c>
      <c r="B54" s="27"/>
      <c r="C54" s="27"/>
      <c r="D54" s="2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6" t="s">
        <v>178</v>
      </c>
      <c r="B55" s="27"/>
      <c r="C55" s="27"/>
      <c r="D55" s="2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6" t="s">
        <v>179</v>
      </c>
      <c r="B56" s="27"/>
      <c r="C56" s="27"/>
      <c r="D56" s="2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180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181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182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8" t="s">
        <v>183</v>
      </c>
      <c r="B62" s="2"/>
      <c r="C62" s="2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184</v>
      </c>
      <c r="B64" s="5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185</v>
      </c>
      <c r="B65" s="58"/>
      <c r="C65" s="4"/>
      <c r="D65" s="5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186</v>
      </c>
      <c r="B67" s="5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185</v>
      </c>
      <c r="B68" s="58"/>
      <c r="C68" s="4"/>
      <c r="D68" s="5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187</v>
      </c>
      <c r="B70" s="5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8"/>
      <c r="C71" s="4"/>
      <c r="D71" s="51"/>
      <c r="E71" s="4" t="s">
        <v>188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189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190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F1"/>
    <mergeCell ref="A3:F3"/>
    <mergeCell ref="A8:F8"/>
    <mergeCell ref="A20:F20"/>
    <mergeCell ref="A31:D31"/>
    <mergeCell ref="A36:F36"/>
    <mergeCell ref="A49:F49"/>
    <mergeCell ref="A62:D6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6" width="8.71"/>
  </cols>
  <sheetData>
    <row r="1" ht="15.0" customHeight="1">
      <c r="A1" s="19" t="s">
        <v>191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9" t="s">
        <v>192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7" t="s">
        <v>194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7" t="s">
        <v>195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7" t="s">
        <v>196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7" t="s">
        <v>197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7" t="s">
        <v>198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7" t="s">
        <v>199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7" t="s">
        <v>200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7" t="s">
        <v>201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7" t="s">
        <v>202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7" t="s">
        <v>203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7" t="s">
        <v>204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6" t="s">
        <v>205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7" t="s">
        <v>20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" t="s">
        <v>206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7" t="s">
        <v>207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7" t="s">
        <v>208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7" t="s">
        <v>209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7" t="s">
        <v>210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7" t="s">
        <v>211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7" t="s">
        <v>212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7" t="s">
        <v>213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7" t="s">
        <v>214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7" t="s">
        <v>215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6" t="s">
        <v>216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7" t="s">
        <v>217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6" t="s">
        <v>218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6" t="s">
        <v>219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7" t="s">
        <v>220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7" t="s">
        <v>221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0" t="s">
        <v>222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 t="s">
        <v>223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1" t="s">
        <v>224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1" t="s">
        <v>225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1" t="s">
        <v>226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1" t="s">
        <v>227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1" t="s">
        <v>228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1" t="s">
        <v>229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1" t="s">
        <v>230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1" t="s">
        <v>231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232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1" t="s">
        <v>233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1" t="s">
        <v>234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1" t="s">
        <v>235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1" t="s">
        <v>236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237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1" t="s">
        <v>238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1" t="s">
        <v>239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1" t="s">
        <v>240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1" t="s">
        <v>241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1" t="s">
        <v>242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1" t="s">
        <v>243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0" t="s">
        <v>244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245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1" t="s">
        <v>246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1" t="s">
        <v>247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1" t="s">
        <v>248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1" t="s">
        <v>249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1" t="s">
        <v>250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1" t="s">
        <v>251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1" t="s">
        <v>252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1" t="s">
        <v>253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1" t="s">
        <v>254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1" t="s">
        <v>255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1" t="s">
        <v>256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1" t="s">
        <v>257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 t="s">
        <v>258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3" t="s">
        <v>259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3" t="s">
        <v>260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3" t="s">
        <v>261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3" t="s">
        <v>262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3" t="s">
        <v>263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 t="s">
        <v>264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 t="s">
        <v>34</v>
      </c>
      <c r="B107" s="5" t="s">
        <v>265</v>
      </c>
      <c r="C107" s="5" t="s">
        <v>266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 t="s">
        <v>267</v>
      </c>
      <c r="C108" s="5">
        <v>1.0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 t="s">
        <v>268</v>
      </c>
      <c r="C109" s="5">
        <v>0.0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 t="s">
        <v>269</v>
      </c>
      <c r="C110" s="5">
        <v>0.0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 t="s">
        <v>270</v>
      </c>
      <c r="C111" s="5">
        <v>0.0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 t="s">
        <v>271</v>
      </c>
      <c r="C112" s="5">
        <v>0.0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 t="s">
        <v>272</v>
      </c>
      <c r="C113" s="5">
        <v>0.0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 t="s">
        <v>273</v>
      </c>
      <c r="C114" s="5">
        <v>0.0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 t="s">
        <v>274</v>
      </c>
      <c r="C115" s="5">
        <v>0.0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 t="s">
        <v>36</v>
      </c>
      <c r="B117" s="5" t="s">
        <v>265</v>
      </c>
      <c r="C117" s="5" t="s">
        <v>266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 t="s">
        <v>275</v>
      </c>
      <c r="C118" s="5">
        <v>7329.29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 t="s">
        <v>276</v>
      </c>
      <c r="C119" s="5">
        <v>16884.92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 t="s">
        <v>277</v>
      </c>
      <c r="C120" s="5">
        <v>9555.63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 t="s">
        <v>38</v>
      </c>
      <c r="B122" s="5" t="s">
        <v>265</v>
      </c>
      <c r="C122" s="5" t="s">
        <v>266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 t="s">
        <v>275</v>
      </c>
      <c r="C123" s="5">
        <v>-1593.75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 t="s">
        <v>278</v>
      </c>
      <c r="C124" s="5">
        <v>277.61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 t="s">
        <v>279</v>
      </c>
      <c r="C125" s="5">
        <v>13204.16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 t="s">
        <v>280</v>
      </c>
      <c r="C126" s="5">
        <v>0.3151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 t="s">
        <v>277</v>
      </c>
      <c r="C127" s="5">
        <v>6734.42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 t="s">
        <v>281</v>
      </c>
      <c r="C128" s="5">
        <v>19938.58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 t="s">
        <v>282</v>
      </c>
      <c r="C129" s="5">
        <v>13204.16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 t="s">
        <v>40</v>
      </c>
      <c r="B131" s="5" t="s">
        <v>265</v>
      </c>
      <c r="C131" s="5" t="s">
        <v>266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 t="s">
        <v>283</v>
      </c>
      <c r="C132" s="5">
        <v>0.0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 t="s">
        <v>284</v>
      </c>
      <c r="C133" s="5">
        <v>0.0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 t="s">
        <v>285</v>
      </c>
      <c r="C134" s="5">
        <v>1.0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 t="s">
        <v>286</v>
      </c>
      <c r="C135" s="5">
        <v>0.0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 t="s">
        <v>287</v>
      </c>
      <c r="C136" s="5">
        <v>0.0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 t="s">
        <v>288</v>
      </c>
      <c r="C137" s="5">
        <v>1.0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 t="s">
        <v>289</v>
      </c>
      <c r="C138" s="5">
        <v>0.0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 t="s">
        <v>290</v>
      </c>
      <c r="C139" s="5">
        <v>0.0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 t="s">
        <v>291</v>
      </c>
      <c r="C140" s="5">
        <v>1.0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 t="s">
        <v>292</v>
      </c>
      <c r="C141" s="5">
        <v>0.0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 t="s">
        <v>293</v>
      </c>
      <c r="C142" s="5">
        <v>0.0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 t="s">
        <v>294</v>
      </c>
      <c r="C143" s="5">
        <v>1.0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 t="s">
        <v>295</v>
      </c>
      <c r="C144" s="5">
        <v>1.0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 t="s">
        <v>296</v>
      </c>
      <c r="C145" s="5">
        <v>0.0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 t="s">
        <v>297</v>
      </c>
      <c r="C146" s="5">
        <v>0.0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 t="s">
        <v>298</v>
      </c>
      <c r="C147" s="5">
        <v>0.0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 t="s">
        <v>299</v>
      </c>
      <c r="C148" s="5">
        <v>0.731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 t="s">
        <v>300</v>
      </c>
      <c r="C149" s="5">
        <v>6.94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 t="s">
        <v>301</v>
      </c>
      <c r="C150" s="5" t="s">
        <v>302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 t="s">
        <v>303</v>
      </c>
      <c r="C151" s="5" t="s">
        <v>302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 t="s">
        <v>304</v>
      </c>
      <c r="C152" s="5">
        <v>0.731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 t="s">
        <v>42</v>
      </c>
      <c r="B154" s="5" t="s">
        <v>265</v>
      </c>
      <c r="C154" s="5" t="s">
        <v>266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 t="s">
        <v>305</v>
      </c>
      <c r="C155" s="5">
        <v>43900.0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 t="s">
        <v>306</v>
      </c>
      <c r="C156" s="5">
        <v>42500.0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 t="s">
        <v>307</v>
      </c>
      <c r="C157" s="5">
        <v>1400.0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 t="s">
        <v>308</v>
      </c>
      <c r="C158" s="5">
        <v>42850.0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 t="s">
        <v>309</v>
      </c>
      <c r="C159" s="5">
        <v>46700.0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 t="s">
        <v>310</v>
      </c>
      <c r="C160" s="5">
        <v>-3850.0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 t="s">
        <v>311</v>
      </c>
      <c r="C161" s="5">
        <v>41800.0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 t="s">
        <v>312</v>
      </c>
      <c r="C162" s="5">
        <v>40400.0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 t="s">
        <v>313</v>
      </c>
      <c r="C163" s="5">
        <v>1400.0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 t="s">
        <v>314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 t="s">
        <v>38</v>
      </c>
      <c r="B166" s="5" t="s">
        <v>265</v>
      </c>
      <c r="C166" s="5" t="s">
        <v>266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 t="s">
        <v>315</v>
      </c>
      <c r="C167" s="5" t="s">
        <v>316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 t="s">
        <v>42</v>
      </c>
      <c r="B169" s="5" t="s">
        <v>265</v>
      </c>
      <c r="C169" s="5" t="s">
        <v>266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 t="s">
        <v>317</v>
      </c>
      <c r="C170" s="5">
        <v>-1050.0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 t="s">
        <v>318</v>
      </c>
      <c r="C171" s="5">
        <v>4200.0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 t="s">
        <v>319</v>
      </c>
      <c r="C172" s="5" t="s">
        <v>320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2026-02-16T21:06:56Z</dcterms:created>
  <dc:creator>openpyxl</dc:creator>
</cp:coreProperties>
</file>