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Step1_CovarianceMatrix" sheetId="2" r:id="rId5"/>
    <sheet state="visible" name="Step2_FIM" sheetId="3" r:id="rId6"/>
    <sheet state="visible" name="Step3_SE_and_CI" sheetId="4" r:id="rId7"/>
    <sheet state="visible" name="Step4_Correlation" sheetId="5" r:id="rId8"/>
    <sheet state="visible" name="Answer_Key" sheetId="6" r:id="rId9"/>
  </sheets>
  <definedNames/>
  <calcPr/>
  <extLst>
    <ext uri="GoogleSheetsCustomDataVersion2">
      <go:sheetsCustomData xmlns:go="http://customooxmlschemas.google.com/" r:id="rId10" roundtripDataChecksum="71Mtr7NgzRMC1hFi7RMpXKDO/PlFp8BU3PeMUm72ToI="/>
    </ext>
  </extLst>
</workbook>
</file>

<file path=xl/sharedStrings.xml><?xml version="1.0" encoding="utf-8"?>
<sst xmlns="http://schemas.openxmlformats.org/spreadsheetml/2006/main" count="204" uniqueCount="148">
  <si>
    <t>[Description] Quality of Estimation - Understanding parameter uncertainty using Fisher Information Matrix</t>
  </si>
  <si>
    <t>Quality of Estimation Worksheet</t>
  </si>
  <si>
    <t>Learning Objectives:</t>
  </si>
  <si>
    <t>1. Understand the meaning of the error covariance matrix for parameter estimates</t>
  </si>
  <si>
    <t>2. Calculate the Fisher Information Matrix (FIM) using numerical derivatives</t>
  </si>
  <si>
    <t>3. Compute standard errors and confidence intervals for model parameters</t>
  </si>
  <si>
    <t>4. Interpret parameter correlations and their implications for model identifiability</t>
  </si>
  <si>
    <t>Key Formulas:</t>
  </si>
  <si>
    <t>• Beverton-Holt model: f(S; α, k) = αS / (1 + S/k)</t>
  </si>
  <si>
    <t>• Measurement variance: σ² = SSE / (n - p)</t>
  </si>
  <si>
    <t>• Numerical derivative: ∂f/∂θ ≈ [f(θ+h) - f(θ-h)] / (2h)</t>
  </si>
  <si>
    <t>• Fisher Information Matrix: FIM = Jᵀ × J  (unscaled)</t>
  </si>
  <si>
    <t>• Error Covariance Matrix: C = σ² × (Jᵀ × J)⁻¹ = σ² × FIM⁻¹</t>
  </si>
  <si>
    <t>• Standard Error: SE(θ) = √Cᵢᵢ</t>
  </si>
  <si>
    <t>• 95% CI: θ̂ ± t_{α/2, n-p} × SE(θ)</t>
  </si>
  <si>
    <t>• Parameter Correlation: ρᵢⱼ = Cᵢⱼ / (SE(θᵢ) × SE(θⱼ))</t>
  </si>
  <si>
    <t>Data from Lecture 03a:</t>
  </si>
  <si>
    <t>• Model: Beverton-Holt (M. merluccius fish stock-recruitment)</t>
  </si>
  <si>
    <t>• Optimal parameters: α = 5.75, k = 33.16</t>
  </si>
  <si>
    <t>• Sum of Squared Errors: SSE = 2809.01</t>
  </si>
  <si>
    <t>• Number of observations: n = 15</t>
  </si>
  <si>
    <t>• Number of parameters: p = 2</t>
  </si>
  <si>
    <t>Color Guide:</t>
  </si>
  <si>
    <t>Given Data (Input)</t>
  </si>
  <si>
    <t>Intermediate Calculations</t>
  </si>
  <si>
    <t>Your Input (Calculate)</t>
  </si>
  <si>
    <t>Correct Answer (✓)</t>
  </si>
  <si>
    <t>Incorrect Answer (✗)</t>
  </si>
  <si>
    <t>[Description] STEP 1: Understanding the Error Covariance Matrix</t>
  </si>
  <si>
    <t>MEASUREMENT VARIANCE CALCULATION</t>
  </si>
  <si>
    <t>Given values from parameter estimation (Lecture 03a):</t>
  </si>
  <si>
    <t>Variable</t>
  </si>
  <si>
    <t>Value</t>
  </si>
  <si>
    <t>Description</t>
  </si>
  <si>
    <t>SSE</t>
  </si>
  <si>
    <t>Sum of Squared Errors</t>
  </si>
  <si>
    <t>n</t>
  </si>
  <si>
    <t>Number of observations</t>
  </si>
  <si>
    <t>p</t>
  </si>
  <si>
    <t>Number of parameters</t>
  </si>
  <si>
    <t>α̂</t>
  </si>
  <si>
    <t>Optimal alpha</t>
  </si>
  <si>
    <t>k̂</t>
  </si>
  <si>
    <t>Optimal k</t>
  </si>
  <si>
    <t>TASK: Calculate measurement variance σ²</t>
  </si>
  <si>
    <t>Formula: σ² = SSE / (n - p)</t>
  </si>
  <si>
    <t>n - p</t>
  </si>
  <si>
    <t>σ²</t>
  </si>
  <si>
    <t>Check</t>
  </si>
  <si>
    <t>UNDERSTANDING THE COVARIANCE MATRIX</t>
  </si>
  <si>
    <t>The error covariance matrix C has the form:</t>
  </si>
  <si>
    <t xml:space="preserve">C = </t>
  </si>
  <si>
    <t>Var(α̂)</t>
  </si>
  <si>
    <t>Cov(α̂,k̂)</t>
  </si>
  <si>
    <t>Cov(k̂,α̂)</t>
  </si>
  <si>
    <t>Var(k̂)</t>
  </si>
  <si>
    <t>• Diagonal elements = variance of each parameter estimate</t>
  </si>
  <si>
    <t>• Off-diagonal elements = covariance between parameters</t>
  </si>
  <si>
    <t>• C = σ² × (Jᵀ × J)⁻¹ where J is the Jacobian matrix</t>
  </si>
  <si>
    <t>[Description] STEP 2: Calculate the Fisher Information Matrix</t>
  </si>
  <si>
    <t>BEVERTON-HOLT MODEL AND DATA</t>
  </si>
  <si>
    <t>Model: f(S; α, k) = αS / (1 + S/k)</t>
  </si>
  <si>
    <t>Parameters: α = 5.75, k = 33.16, h = 0.01 (step size for numerical derivatives)</t>
  </si>
  <si>
    <t>i</t>
  </si>
  <si>
    <t>S</t>
  </si>
  <si>
    <t>R (observed)</t>
  </si>
  <si>
    <t>f(S)</t>
  </si>
  <si>
    <t>JACOBIAN MATRIX (SENSITIVITY FUNCTIONS)</t>
  </si>
  <si>
    <t>Calculate partial derivatives numerically using h = 0.01:</t>
  </si>
  <si>
    <t>∂f/∂α ≈ [f(α+h, k) - f(α-h, k)] / (2h)</t>
  </si>
  <si>
    <t>∂f/∂k ≈ [f(α, k+h) - f(α, k-h)] / (2h)</t>
  </si>
  <si>
    <t>∂f/∂α</t>
  </si>
  <si>
    <t>∂f/∂k</t>
  </si>
  <si>
    <t>FISHER INFORMATION MATRIX (GIVEN FROM FULL DATA)</t>
  </si>
  <si>
    <t>Using all 15 data points and σ² = 216.08, the FIM is:</t>
  </si>
  <si>
    <t>(These values are provided - in practice computed from full Jacobian)</t>
  </si>
  <si>
    <t>α</t>
  </si>
  <si>
    <t>k</t>
  </si>
  <si>
    <t>2×2 MATRIX INVERSE FORMULA</t>
  </si>
  <si>
    <t>For a 2×2 matrix A = [[a,b],[c,d]], the inverse is:</t>
  </si>
  <si>
    <t>A⁻¹ = (1/(ad-bc)) × [[d,-b],[-c,a]]</t>
  </si>
  <si>
    <t>Calculate FIM⁻¹ (determinant and inverse elements):</t>
  </si>
  <si>
    <t>ad</t>
  </si>
  <si>
    <t>bc</t>
  </si>
  <si>
    <t>det = ad-bc</t>
  </si>
  <si>
    <t>FIM⁻¹ elements:</t>
  </si>
  <si>
    <t>FIM⁻¹[1,1]</t>
  </si>
  <si>
    <t>FIM⁻¹[1,2]</t>
  </si>
  <si>
    <t>FIM⁻¹[2,1]</t>
  </si>
  <si>
    <t>FIM⁻¹[2,2]</t>
  </si>
  <si>
    <t>[Description] STEP 3: Calculate Standard Errors and Confidence Intervals</t>
  </si>
  <si>
    <t>ERROR COVARIANCE MATRIX</t>
  </si>
  <si>
    <t>C = σ² × FIM⁻¹</t>
  </si>
  <si>
    <t>Using σ² = 216.08 and FIM⁻¹ from Step 2:</t>
  </si>
  <si>
    <t>Parameter</t>
  </si>
  <si>
    <t>Note: Values given from lecture (full 15-point calculation)</t>
  </si>
  <si>
    <t>STANDARD ERRORS</t>
  </si>
  <si>
    <t>SE(θ) = √Cᵢᵢ (square root of diagonal elements)</t>
  </si>
  <si>
    <t>Variance Cᵢᵢ</t>
  </si>
  <si>
    <t>SE = √Cᵢᵢ</t>
  </si>
  <si>
    <t>95% CONFIDENCE INTERVALS</t>
  </si>
  <si>
    <t>CI: θ̂ ± t_{α/2, n-p} × SE(θ)</t>
  </si>
  <si>
    <t>For 95% CI with n-p = 13 degrees of freedom:</t>
  </si>
  <si>
    <t>t_{0.025, 13} = 2.160</t>
  </si>
  <si>
    <t>Estimate</t>
  </si>
  <si>
    <t>SE</t>
  </si>
  <si>
    <t>t × SE</t>
  </si>
  <si>
    <t>Lower CI</t>
  </si>
  <si>
    <t>Upper CI</t>
  </si>
  <si>
    <t>[Description] STEP 4: Parameter Correlation Analysis</t>
  </si>
  <si>
    <t>PARAMETER CORRELATION FORMULA</t>
  </si>
  <si>
    <t>ρᵢⱼ = Cov(θᵢ, θⱼ) / (SE(θᵢ) × SE(θⱼ))</t>
  </si>
  <si>
    <t>CALCULATE CORRELATION BETWEEN α AND k</t>
  </si>
  <si>
    <t>From the covariance matrix:</t>
  </si>
  <si>
    <t>Cov(α,k)</t>
  </si>
  <si>
    <t>SE(α)</t>
  </si>
  <si>
    <t>SE(k)</t>
  </si>
  <si>
    <t>SE(α)×SE(k)</t>
  </si>
  <si>
    <t>ρ(α,k)</t>
  </si>
  <si>
    <t>INTERPRETATION OF HIGH CORRELATION</t>
  </si>
  <si>
    <t>Questions to answer (write in cells below):</t>
  </si>
  <si>
    <t>Q1: Is the correlation between α and k high or low?</t>
  </si>
  <si>
    <t>Q2: What does a high positive correlation between parameters mean?</t>
  </si>
  <si>
    <t>Q3: How does high parameter correlation affect model identifiability?</t>
  </si>
  <si>
    <t>CORRELATION RANGES AND MEANINGS</t>
  </si>
  <si>
    <t>| ρ | ≈ 0: Parameters are independent (ideal)</t>
  </si>
  <si>
    <t>| ρ | ≈ 0.5-0.7: Moderate correlation</t>
  </si>
  <si>
    <t>| ρ | &gt; 0.9: High correlation - potential identifiability issues</t>
  </si>
  <si>
    <t>| ρ | ≈ 1: Parameters are confounded (cannot be uniquely estimated)</t>
  </si>
  <si>
    <t>[Description] ANSWER KEY - All solutions for the Quality of Estimation worksheet</t>
  </si>
  <si>
    <t>ANSWER KEY</t>
  </si>
  <si>
    <t>STEP 1: Measurement Variance</t>
  </si>
  <si>
    <t>STEP 2: Model Predictions and Jacobian</t>
  </si>
  <si>
    <t>Model predictions f(S) for α=5.75, k=33.16:</t>
  </si>
  <si>
    <t>FIM determinant and inverse:</t>
  </si>
  <si>
    <t>det</t>
  </si>
  <si>
    <t>STEP 3: Standard Errors and Confidence Intervals</t>
  </si>
  <si>
    <t>Error Covariance Matrix C (from lecture):</t>
  </si>
  <si>
    <t>Standard Errors:</t>
  </si>
  <si>
    <t>Variance</t>
  </si>
  <si>
    <t>95% Confidence Intervals (t₀.₀₂₅,₁₃ = 2.160):</t>
  </si>
  <si>
    <t>STEP 4: Parameter Correlation</t>
  </si>
  <si>
    <t>Interpretation:</t>
  </si>
  <si>
    <t>Q1: The correlation ρ = 0.97 is very high (close to 1).</t>
  </si>
  <si>
    <t>Q2: High positive correlation means when α increases, k must also increase</t>
  </si>
  <si>
    <t xml:space="preserve">     to fit the data equally well (parameters are confounded).</t>
  </si>
  <si>
    <t>Q3: High correlation indicates poor identifiability - the parameters cannot</t>
  </si>
  <si>
    <t xml:space="preserve">     be estimated independently. More/different data may be needed.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</si>
</sst>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color rgb="FF505050"/>
      <name val="Calibri"/>
    </font>
    <font>
      <sz val="11.0"/>
      <color theme="1"/>
      <name val="Calibri"/>
    </font>
    <font>
      <b/>
      <sz val="14.0"/>
      <color rgb="FF4472C4"/>
      <name val="Calibri"/>
    </font>
    <font>
      <b/>
      <sz val="12.0"/>
      <color rgb="FF000000"/>
      <name val="Calibri"/>
    </font>
    <font>
      <color theme="1"/>
      <name val="Calibri"/>
    </font>
    <font>
      <sz val="11.0"/>
      <color rgb="FF000000"/>
      <name val="Calibri"/>
    </font>
    <font>
      <b/>
      <color theme="1"/>
      <name val="Calibri"/>
    </font>
    <font/>
    <font>
      <b/>
      <color rgb="FFFFFFFF"/>
      <name val="Calibri"/>
    </font>
    <font>
      <sz val="11.0"/>
      <color rgb="FFFFFFFF"/>
      <name val="Calibri"/>
    </font>
    <font>
      <color rgb="FFFFFFFF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0F8FF"/>
        <bgColor rgb="FFF0F8FF"/>
      </patternFill>
    </fill>
    <fill>
      <patternFill patternType="solid">
        <fgColor rgb="FFDAEEF3"/>
        <bgColor rgb="FFDAEEF3"/>
      </patternFill>
    </fill>
    <fill>
      <patternFill patternType="solid">
        <fgColor rgb="FFD8E4BC"/>
        <bgColor rgb="FFD8E4BC"/>
      </patternFill>
    </fill>
    <fill>
      <patternFill patternType="solid">
        <fgColor rgb="FFFFFF00"/>
        <bgColor rgb="FFFFFF00"/>
      </patternFill>
    </fill>
    <fill>
      <patternFill patternType="solid">
        <fgColor rgb="FFCCFFCC"/>
        <bgColor rgb="FFCCFFCC"/>
      </patternFill>
    </fill>
    <fill>
      <patternFill patternType="solid">
        <fgColor rgb="FFFFCCCC"/>
        <bgColor rgb="FFFFCCCC"/>
      </patternFill>
    </fill>
    <fill>
      <patternFill patternType="solid">
        <fgColor rgb="FF4472C4"/>
        <bgColor rgb="FF4472C4"/>
      </patternFill>
    </fill>
  </fills>
  <borders count="6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1" fillId="3" fontId="2" numFmtId="0" xfId="0" applyBorder="1" applyFill="1" applyFont="1"/>
    <xf borderId="0" fillId="0" fontId="6" numFmtId="0" xfId="0" applyFont="1"/>
    <xf borderId="1" fillId="4" fontId="2" numFmtId="0" xfId="0" applyBorder="1" applyFill="1" applyFont="1"/>
    <xf borderId="1" fillId="5" fontId="2" numFmtId="0" xfId="0" applyBorder="1" applyFill="1" applyFont="1"/>
    <xf borderId="1" fillId="6" fontId="2" numFmtId="0" xfId="0" applyBorder="1" applyFill="1" applyFont="1"/>
    <xf borderId="1" fillId="7" fontId="2" numFmtId="0" xfId="0" applyBorder="1" applyFill="1" applyFont="1"/>
    <xf borderId="2" fillId="3" fontId="7" numFmtId="0" xfId="0" applyBorder="1" applyFont="1"/>
    <xf borderId="3" fillId="0" fontId="8" numFmtId="0" xfId="0" applyBorder="1" applyFont="1"/>
    <xf borderId="4" fillId="0" fontId="8" numFmtId="0" xfId="0" applyBorder="1" applyFont="1"/>
    <xf borderId="0" fillId="0" fontId="7" numFmtId="0" xfId="0" applyFont="1"/>
    <xf borderId="5" fillId="8" fontId="9" numFmtId="0" xfId="0" applyAlignment="1" applyBorder="1" applyFill="1" applyFont="1">
      <alignment horizontal="center"/>
    </xf>
    <xf borderId="5" fillId="8" fontId="10" numFmtId="0" xfId="0" applyAlignment="1" applyBorder="1" applyFont="1">
      <alignment horizontal="center"/>
    </xf>
    <xf borderId="5" fillId="6" fontId="2" numFmtId="0" xfId="0" applyAlignment="1" applyBorder="1" applyFont="1">
      <alignment horizontal="center"/>
    </xf>
    <xf borderId="5" fillId="0" fontId="2" numFmtId="0" xfId="0" applyAlignment="1" applyBorder="1" applyFont="1">
      <alignment horizontal="center"/>
    </xf>
    <xf borderId="5" fillId="5" fontId="2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5" fillId="0" fontId="5" numFmtId="0" xfId="0" applyAlignment="1" applyBorder="1" applyFont="1">
      <alignment horizontal="center"/>
    </xf>
    <xf borderId="5" fillId="8" fontId="11" numFmtId="0" xfId="0" applyAlignment="1" applyBorder="1" applyFont="1">
      <alignment horizontal="center"/>
    </xf>
    <xf borderId="5" fillId="3" fontId="2" numFmtId="0" xfId="0" applyAlignment="1" applyBorder="1" applyFont="1">
      <alignment horizontal="center"/>
    </xf>
  </cellXfs>
  <cellStyles count="1">
    <cellStyle xfId="0" name="Normal" builtinId="0"/>
  </cellStyles>
  <dxfs count="2">
    <dxf>
      <font/>
      <fill>
        <patternFill patternType="solid">
          <fgColor rgb="FFCCFFCC"/>
          <bgColor rgb="FFCCFFCC"/>
        </patternFill>
      </fill>
      <border/>
    </dxf>
    <dxf>
      <font/>
      <fill>
        <patternFill patternType="solid">
          <fgColor rgb="FFFFCCCC"/>
          <bgColor rgb="FFFF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86"/>
    <col customWidth="1" min="2" max="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s">
        <v>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 t="s">
        <v>3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 t="s">
        <v>4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 t="s">
        <v>5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5" t="s">
        <v>6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 t="s">
        <v>7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5" t="s">
        <v>8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5" t="s">
        <v>9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5" t="s">
        <v>10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5" t="s">
        <v>11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5" t="s">
        <v>12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5" t="s">
        <v>13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5" t="s">
        <v>14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5" t="s">
        <v>15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4" t="s">
        <v>16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5" t="s">
        <v>17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5" t="s">
        <v>18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5" t="s">
        <v>19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5" t="s">
        <v>20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5" t="s">
        <v>21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4" t="s">
        <v>22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6"/>
      <c r="B34" s="7" t="s">
        <v>23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8"/>
      <c r="B35" s="7" t="s">
        <v>24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9"/>
      <c r="B36" s="7" t="s">
        <v>25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0"/>
      <c r="B37" s="7" t="s">
        <v>26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1"/>
      <c r="B38" s="7" t="s">
        <v>27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4.0"/>
    <col customWidth="1" min="3" max="3" width="22.29"/>
    <col customWidth="1" min="4" max="6" width="14.0"/>
  </cols>
  <sheetData>
    <row r="1">
      <c r="A1" s="1" t="s">
        <v>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2" t="s">
        <v>29</v>
      </c>
      <c r="B3" s="13"/>
      <c r="C3" s="13"/>
      <c r="D3" s="13"/>
      <c r="E3" s="13"/>
      <c r="F3" s="14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5" t="s">
        <v>30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6" t="s">
        <v>31</v>
      </c>
      <c r="B7" s="16" t="s">
        <v>32</v>
      </c>
      <c r="C7" s="16" t="s">
        <v>33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7" t="s">
        <v>34</v>
      </c>
      <c r="B8" s="18">
        <v>2809.01</v>
      </c>
      <c r="C8" s="19" t="s">
        <v>35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7" t="s">
        <v>36</v>
      </c>
      <c r="B9" s="18">
        <v>15.0</v>
      </c>
      <c r="C9" s="19" t="s">
        <v>37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7" t="s">
        <v>38</v>
      </c>
      <c r="B10" s="18">
        <v>2.0</v>
      </c>
      <c r="C10" s="19" t="s">
        <v>39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7" t="s">
        <v>40</v>
      </c>
      <c r="B11" s="18">
        <v>5.75</v>
      </c>
      <c r="C11" s="19" t="s">
        <v>41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7" t="s">
        <v>42</v>
      </c>
      <c r="B12" s="18">
        <v>33.16</v>
      </c>
      <c r="C12" s="19" t="s">
        <v>43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2" t="s">
        <v>44</v>
      </c>
      <c r="B15" s="13"/>
      <c r="C15" s="13"/>
      <c r="D15" s="13"/>
      <c r="E15" s="13"/>
      <c r="F15" s="14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5" t="s">
        <v>45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6" t="s">
        <v>46</v>
      </c>
      <c r="B19" s="16" t="s">
        <v>47</v>
      </c>
      <c r="C19" s="16" t="s">
        <v>48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0"/>
      <c r="B20" s="20"/>
      <c r="C20" s="21" t="str">
        <f>IF(AND(ABS(A20-13)&lt;0.1,ABS(B20-216.08)&lt;1),"✓","✗")</f>
        <v>✗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2" t="s">
        <v>49</v>
      </c>
      <c r="B23" s="13"/>
      <c r="C23" s="13"/>
      <c r="D23" s="13"/>
      <c r="E23" s="13"/>
      <c r="F23" s="14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5" t="s">
        <v>50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5" t="s">
        <v>51</v>
      </c>
      <c r="B27" s="16" t="s">
        <v>52</v>
      </c>
      <c r="C27" s="16" t="s">
        <v>53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16" t="s">
        <v>54</v>
      </c>
      <c r="C28" s="16" t="s">
        <v>55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5" t="s">
        <v>56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5" t="s">
        <v>57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5" t="s">
        <v>58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">
    <mergeCell ref="A3:F3"/>
    <mergeCell ref="A15:F15"/>
    <mergeCell ref="A23:F23"/>
  </mergeCells>
  <conditionalFormatting sqref="A20">
    <cfRule type="expression" dxfId="0" priority="1">
      <formula>ROUND(ABS(A20-13),3)&lt;=0.195</formula>
    </cfRule>
  </conditionalFormatting>
  <conditionalFormatting sqref="A20">
    <cfRule type="expression" dxfId="1" priority="2">
      <formula>AND(A20&lt;&gt;"", ROUND(ABS(A20-13),3)&gt;0.195)</formula>
    </cfRule>
  </conditionalFormatting>
  <conditionalFormatting sqref="B20">
    <cfRule type="expression" dxfId="0" priority="3">
      <formula>ROUND(ABS(B20-216.08),3)&lt;=3.241</formula>
    </cfRule>
  </conditionalFormatting>
  <conditionalFormatting sqref="B20">
    <cfRule type="expression" dxfId="1" priority="4">
      <formula>AND(B20&lt;&gt;"", ROUND(ABS(B20-216.08),3)&gt;3.241)</formula>
    </cfRule>
  </conditionalFormatting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2.0"/>
  </cols>
  <sheetData>
    <row r="1">
      <c r="A1" s="1" t="s">
        <v>59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2" t="s">
        <v>60</v>
      </c>
      <c r="B3" s="13"/>
      <c r="C3" s="13"/>
      <c r="D3" s="13"/>
      <c r="E3" s="13"/>
      <c r="F3" s="14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61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62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6" t="s">
        <v>63</v>
      </c>
      <c r="B8" s="16" t="s">
        <v>64</v>
      </c>
      <c r="C8" s="16" t="s">
        <v>65</v>
      </c>
      <c r="D8" s="16" t="s">
        <v>66</v>
      </c>
      <c r="E8" s="16" t="s">
        <v>48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7">
        <v>1.0</v>
      </c>
      <c r="B9" s="18">
        <v>7.6</v>
      </c>
      <c r="C9" s="18">
        <v>29.6</v>
      </c>
      <c r="D9" s="20"/>
      <c r="E9" s="22" t="str">
        <f>IF(ABS(D9-35.55)&lt;0.5,"✓","✗")</f>
        <v>✗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7">
        <v>2.0</v>
      </c>
      <c r="B10" s="18">
        <v>7.8</v>
      </c>
      <c r="C10" s="18">
        <v>30.3</v>
      </c>
      <c r="D10" s="20"/>
      <c r="E10" s="22" t="str">
        <f>IF(ABS(D10-36.31)&lt;0.5,"✓","✗")</f>
        <v>✗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7">
        <v>3.0</v>
      </c>
      <c r="B11" s="18">
        <v>12.0</v>
      </c>
      <c r="C11" s="18">
        <v>36.2</v>
      </c>
      <c r="D11" s="20"/>
      <c r="E11" s="22" t="str">
        <f>IF(ABS(D11-50.67)&lt;0.5,"✓","✗")</f>
        <v>✗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7">
        <v>4.0</v>
      </c>
      <c r="B12" s="18">
        <v>18.5</v>
      </c>
      <c r="C12" s="18">
        <v>44.8</v>
      </c>
      <c r="D12" s="20"/>
      <c r="E12" s="22" t="str">
        <f>IF(ABS(D12-68.28)&lt;0.5,"✓","✗")</f>
        <v>✗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7">
        <v>5.0</v>
      </c>
      <c r="B13" s="18">
        <v>25.7</v>
      </c>
      <c r="C13" s="18">
        <v>51.1</v>
      </c>
      <c r="D13" s="20"/>
      <c r="E13" s="22" t="str">
        <f>IF(ABS(D13-83.25)&lt;0.5,"✓","✗")</f>
        <v>✗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2" t="s">
        <v>67</v>
      </c>
      <c r="B16" s="13"/>
      <c r="C16" s="13"/>
      <c r="D16" s="13"/>
      <c r="E16" s="13"/>
      <c r="F16" s="14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5" t="s">
        <v>68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5" t="s">
        <v>69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5" t="s">
        <v>70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6" t="s">
        <v>63</v>
      </c>
      <c r="B22" s="16" t="s">
        <v>64</v>
      </c>
      <c r="C22" s="16" t="s">
        <v>71</v>
      </c>
      <c r="D22" s="16" t="s">
        <v>72</v>
      </c>
      <c r="E22" s="16" t="s">
        <v>48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7">
        <v>1.0</v>
      </c>
      <c r="B23" s="18">
        <v>7.6</v>
      </c>
      <c r="C23" s="20"/>
      <c r="D23" s="20"/>
      <c r="E23" s="22" t="str">
        <f>IF(AND(ABS(C23-6.18)&lt;0.1,ABS(D23-0.2)&lt;0.01),"✓","✗")</f>
        <v>✗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7">
        <v>2.0</v>
      </c>
      <c r="B24" s="18">
        <v>7.8</v>
      </c>
      <c r="C24" s="20"/>
      <c r="D24" s="20"/>
      <c r="E24" s="22" t="str">
        <f>IF(AND(ABS(C24-6.31)&lt;0.1,ABS(D24-0.209)&lt;0.01),"✓","✗")</f>
        <v>✗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7">
        <v>3.0</v>
      </c>
      <c r="B25" s="18">
        <v>12.0</v>
      </c>
      <c r="C25" s="20"/>
      <c r="D25" s="20"/>
      <c r="E25" s="22" t="str">
        <f>IF(AND(ABS(C25-8.81)&lt;0.1,ABS(D25-0.406)&lt;0.01),"✓","✗")</f>
        <v>✗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7">
        <v>4.0</v>
      </c>
      <c r="B26" s="18">
        <v>18.5</v>
      </c>
      <c r="C26" s="20"/>
      <c r="D26" s="20"/>
      <c r="E26" s="22" t="str">
        <f>IF(AND(ABS(C26-11.87)&lt;0.1,ABS(D26-0.737)&lt;0.01),"✓","✗")</f>
        <v>✗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7">
        <v>5.0</v>
      </c>
      <c r="B27" s="18">
        <v>25.7</v>
      </c>
      <c r="C27" s="20"/>
      <c r="D27" s="20"/>
      <c r="E27" s="22" t="str">
        <f>IF(AND(ABS(C27-14.48)&lt;0.1,ABS(D27-1.096)&lt;0.01),"✓","✗")</f>
        <v>✗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2" t="s">
        <v>73</v>
      </c>
      <c r="B30" s="13"/>
      <c r="C30" s="13"/>
      <c r="D30" s="13"/>
      <c r="E30" s="13"/>
      <c r="F30" s="14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5" t="s">
        <v>74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5" t="s">
        <v>75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3"/>
      <c r="B35" s="16" t="s">
        <v>76</v>
      </c>
      <c r="C35" s="16" t="s">
        <v>77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6" t="s">
        <v>76</v>
      </c>
      <c r="B36" s="18">
        <v>16.1</v>
      </c>
      <c r="C36" s="18">
        <v>-1.41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6" t="s">
        <v>77</v>
      </c>
      <c r="B37" s="18">
        <v>-1.41</v>
      </c>
      <c r="C37" s="18">
        <v>0.14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2" t="s">
        <v>78</v>
      </c>
      <c r="B40" s="13"/>
      <c r="C40" s="13"/>
      <c r="D40" s="13"/>
      <c r="E40" s="13"/>
      <c r="F40" s="14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5" t="s">
        <v>79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5" t="s">
        <v>80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5" t="s">
        <v>81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6" t="s">
        <v>82</v>
      </c>
      <c r="B47" s="16" t="s">
        <v>83</v>
      </c>
      <c r="C47" s="16" t="s">
        <v>84</v>
      </c>
      <c r="D47" s="16" t="s">
        <v>48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0"/>
      <c r="B48" s="20"/>
      <c r="C48" s="20"/>
      <c r="D48" s="22" t="str">
        <f>IF(ABS(C48-0.266)&lt;0.01,"✓","✗")</f>
        <v>✗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5" t="s">
        <v>85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6" t="s">
        <v>86</v>
      </c>
      <c r="B51" s="16" t="s">
        <v>87</v>
      </c>
      <c r="C51" s="16" t="s">
        <v>88</v>
      </c>
      <c r="D51" s="16" t="s">
        <v>89</v>
      </c>
      <c r="E51" s="16" t="s">
        <v>48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0"/>
      <c r="B52" s="20"/>
      <c r="C52" s="20"/>
      <c r="D52" s="20"/>
      <c r="E52" s="22" t="str">
        <f>IF(AND(ABS(A52-0.53)&lt;0.05,ABS(D52-60.5)&lt;1),"✓","✗")</f>
        <v>✗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">
    <mergeCell ref="A3:F3"/>
    <mergeCell ref="A16:F16"/>
    <mergeCell ref="A30:F30"/>
    <mergeCell ref="A40:F40"/>
  </mergeCells>
  <conditionalFormatting sqref="D9">
    <cfRule type="expression" dxfId="0" priority="1">
      <formula>ROUND(ABS(D9-35.55),3)&lt;=0.533</formula>
    </cfRule>
  </conditionalFormatting>
  <conditionalFormatting sqref="D9">
    <cfRule type="expression" dxfId="1" priority="2">
      <formula>AND(D9&lt;&gt;"", ROUND(ABS(D9-35.55),3)&gt;0.533)</formula>
    </cfRule>
  </conditionalFormatting>
  <conditionalFormatting sqref="D10">
    <cfRule type="expression" dxfId="0" priority="3">
      <formula>ROUND(ABS(D10-36.31),3)&lt;=0.545</formula>
    </cfRule>
  </conditionalFormatting>
  <conditionalFormatting sqref="D10">
    <cfRule type="expression" dxfId="1" priority="4">
      <formula>AND(D10&lt;&gt;"", ROUND(ABS(D10-36.31),3)&gt;0.545)</formula>
    </cfRule>
  </conditionalFormatting>
  <conditionalFormatting sqref="D11">
    <cfRule type="expression" dxfId="0" priority="5">
      <formula>ROUND(ABS(D11-50.67),3)&lt;=0.76</formula>
    </cfRule>
  </conditionalFormatting>
  <conditionalFormatting sqref="D11">
    <cfRule type="expression" dxfId="1" priority="6">
      <formula>AND(D11&lt;&gt;"", ROUND(ABS(D11-50.67),3)&gt;0.76)</formula>
    </cfRule>
  </conditionalFormatting>
  <conditionalFormatting sqref="D12">
    <cfRule type="expression" dxfId="0" priority="7">
      <formula>ROUND(ABS(D12-68.28),3)&lt;=1.024</formula>
    </cfRule>
  </conditionalFormatting>
  <conditionalFormatting sqref="D12">
    <cfRule type="expression" dxfId="1" priority="8">
      <formula>AND(D12&lt;&gt;"", ROUND(ABS(D12-68.28),3)&gt;1.024)</formula>
    </cfRule>
  </conditionalFormatting>
  <conditionalFormatting sqref="D13">
    <cfRule type="expression" dxfId="0" priority="9">
      <formula>ROUND(ABS(D13-83.25),3)&lt;=1.249</formula>
    </cfRule>
  </conditionalFormatting>
  <conditionalFormatting sqref="D13">
    <cfRule type="expression" dxfId="1" priority="10">
      <formula>AND(D13&lt;&gt;"", ROUND(ABS(D13-83.25),3)&gt;1.249)</formula>
    </cfRule>
  </conditionalFormatting>
  <conditionalFormatting sqref="C23">
    <cfRule type="expression" dxfId="0" priority="11">
      <formula>ROUND(ABS(C23-6.18),3)&lt;=0.093</formula>
    </cfRule>
  </conditionalFormatting>
  <conditionalFormatting sqref="C23">
    <cfRule type="expression" dxfId="1" priority="12">
      <formula>AND(C23&lt;&gt;"", ROUND(ABS(C23-6.18),3)&gt;0.093)</formula>
    </cfRule>
  </conditionalFormatting>
  <conditionalFormatting sqref="C24">
    <cfRule type="expression" dxfId="0" priority="13">
      <formula>ROUND(ABS(C24-6.31),3)&lt;=0.095</formula>
    </cfRule>
  </conditionalFormatting>
  <conditionalFormatting sqref="C24">
    <cfRule type="expression" dxfId="1" priority="14">
      <formula>AND(C24&lt;&gt;"", ROUND(ABS(C24-6.31),3)&gt;0.095)</formula>
    </cfRule>
  </conditionalFormatting>
  <conditionalFormatting sqref="C25">
    <cfRule type="expression" dxfId="0" priority="15">
      <formula>ROUND(ABS(C25-8.81),3)&lt;=0.132</formula>
    </cfRule>
  </conditionalFormatting>
  <conditionalFormatting sqref="C25">
    <cfRule type="expression" dxfId="1" priority="16">
      <formula>AND(C25&lt;&gt;"", ROUND(ABS(C25-8.81),3)&gt;0.132)</formula>
    </cfRule>
  </conditionalFormatting>
  <conditionalFormatting sqref="C26">
    <cfRule type="expression" dxfId="0" priority="17">
      <formula>ROUND(ABS(C26-11.87),3)&lt;=0.178</formula>
    </cfRule>
  </conditionalFormatting>
  <conditionalFormatting sqref="C26">
    <cfRule type="expression" dxfId="1" priority="18">
      <formula>AND(C26&lt;&gt;"", ROUND(ABS(C26-11.87),3)&gt;0.178)</formula>
    </cfRule>
  </conditionalFormatting>
  <conditionalFormatting sqref="C27">
    <cfRule type="expression" dxfId="0" priority="19">
      <formula>ROUND(ABS(C27-14.48),3)&lt;=0.217</formula>
    </cfRule>
  </conditionalFormatting>
  <conditionalFormatting sqref="C27">
    <cfRule type="expression" dxfId="1" priority="20">
      <formula>AND(C27&lt;&gt;"", ROUND(ABS(C27-14.48),3)&gt;0.217)</formula>
    </cfRule>
  </conditionalFormatting>
  <conditionalFormatting sqref="D23">
    <cfRule type="expression" dxfId="0" priority="21">
      <formula>ROUND(ABS(D23-0.2),3)&lt;=0.015</formula>
    </cfRule>
  </conditionalFormatting>
  <conditionalFormatting sqref="D23">
    <cfRule type="expression" dxfId="1" priority="22">
      <formula>AND(D23&lt;&gt;"", ROUND(ABS(D23-0.2),3)&gt;0.015)</formula>
    </cfRule>
  </conditionalFormatting>
  <conditionalFormatting sqref="D24">
    <cfRule type="expression" dxfId="0" priority="23">
      <formula>ROUND(ABS(D24-0.209),3)&lt;=0.015</formula>
    </cfRule>
  </conditionalFormatting>
  <conditionalFormatting sqref="D24">
    <cfRule type="expression" dxfId="1" priority="24">
      <formula>AND(D24&lt;&gt;"", ROUND(ABS(D24-0.209),3)&gt;0.015)</formula>
    </cfRule>
  </conditionalFormatting>
  <conditionalFormatting sqref="D25">
    <cfRule type="expression" dxfId="0" priority="25">
      <formula>ROUND(ABS(D25-0.406),3)&lt;=0.015</formula>
    </cfRule>
  </conditionalFormatting>
  <conditionalFormatting sqref="D25">
    <cfRule type="expression" dxfId="1" priority="26">
      <formula>AND(D25&lt;&gt;"", ROUND(ABS(D25-0.406),3)&gt;0.015)</formula>
    </cfRule>
  </conditionalFormatting>
  <conditionalFormatting sqref="D26">
    <cfRule type="expression" dxfId="0" priority="27">
      <formula>ROUND(ABS(D26-0.737),3)&lt;=0.015</formula>
    </cfRule>
  </conditionalFormatting>
  <conditionalFormatting sqref="D26">
    <cfRule type="expression" dxfId="1" priority="28">
      <formula>AND(D26&lt;&gt;"", ROUND(ABS(D26-0.737),3)&gt;0.015)</formula>
    </cfRule>
  </conditionalFormatting>
  <conditionalFormatting sqref="D27">
    <cfRule type="expression" dxfId="0" priority="29">
      <formula>ROUND(ABS(D27-1.096),3)&lt;=0.016</formula>
    </cfRule>
  </conditionalFormatting>
  <conditionalFormatting sqref="D27">
    <cfRule type="expression" dxfId="1" priority="30">
      <formula>AND(D27&lt;&gt;"", ROUND(ABS(D27-1.096),3)&gt;0.016)</formula>
    </cfRule>
  </conditionalFormatting>
  <conditionalFormatting sqref="A48">
    <cfRule type="expression" dxfId="0" priority="31">
      <formula>ROUND(ABS(A48-2.254),3)&lt;=0.034</formula>
    </cfRule>
  </conditionalFormatting>
  <conditionalFormatting sqref="A48">
    <cfRule type="expression" dxfId="1" priority="32">
      <formula>AND(A48&lt;&gt;"", ROUND(ABS(A48-2.254),3)&gt;0.034)</formula>
    </cfRule>
  </conditionalFormatting>
  <conditionalFormatting sqref="B48">
    <cfRule type="expression" dxfId="0" priority="33">
      <formula>ROUND(ABS(B48-1.988),3)&lt;=0.03</formula>
    </cfRule>
  </conditionalFormatting>
  <conditionalFormatting sqref="B48">
    <cfRule type="expression" dxfId="1" priority="34">
      <formula>AND(B48&lt;&gt;"", ROUND(ABS(B48-1.988),3)&gt;0.03)</formula>
    </cfRule>
  </conditionalFormatting>
  <conditionalFormatting sqref="C48">
    <cfRule type="expression" dxfId="0" priority="35">
      <formula>ROUND(ABS(C48-0.266),3)&lt;=0.015</formula>
    </cfRule>
  </conditionalFormatting>
  <conditionalFormatting sqref="C48">
    <cfRule type="expression" dxfId="1" priority="36">
      <formula>AND(C48&lt;&gt;"", ROUND(ABS(C48-0.266),3)&gt;0.015)</formula>
    </cfRule>
  </conditionalFormatting>
  <conditionalFormatting sqref="A52">
    <cfRule type="expression" dxfId="0" priority="37">
      <formula>ROUND(ABS(A52-0.53),3)&lt;=0.015</formula>
    </cfRule>
  </conditionalFormatting>
  <conditionalFormatting sqref="A52">
    <cfRule type="expression" dxfId="1" priority="38">
      <formula>AND(A52&lt;&gt;"", ROUND(ABS(A52-0.53),3)&gt;0.015)</formula>
    </cfRule>
  </conditionalFormatting>
  <conditionalFormatting sqref="B52">
    <cfRule type="expression" dxfId="0" priority="39">
      <formula>ROUND(ABS(B52-5.3),3)&lt;=0.08</formula>
    </cfRule>
  </conditionalFormatting>
  <conditionalFormatting sqref="B52">
    <cfRule type="expression" dxfId="1" priority="40">
      <formula>AND(B52&lt;&gt;"", ROUND(ABS(B52-5.3),3)&gt;0.08)</formula>
    </cfRule>
  </conditionalFormatting>
  <conditionalFormatting sqref="C52">
    <cfRule type="expression" dxfId="0" priority="41">
      <formula>ROUND(ABS(C52-5.3),3)&lt;=0.08</formula>
    </cfRule>
  </conditionalFormatting>
  <conditionalFormatting sqref="C52">
    <cfRule type="expression" dxfId="1" priority="42">
      <formula>AND(C52&lt;&gt;"", ROUND(ABS(C52-5.3),3)&gt;0.08)</formula>
    </cfRule>
  </conditionalFormatting>
  <conditionalFormatting sqref="D52">
    <cfRule type="expression" dxfId="0" priority="43">
      <formula>ROUND(ABS(D52-60.53),3)&lt;=0.908</formula>
    </cfRule>
  </conditionalFormatting>
  <conditionalFormatting sqref="D52">
    <cfRule type="expression" dxfId="1" priority="44">
      <formula>AND(D52&lt;&gt;"", ROUND(ABS(D52-60.53),3)&gt;0.908)</formula>
    </cfRule>
  </conditionalFormatting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4.0"/>
  </cols>
  <sheetData>
    <row r="1">
      <c r="A1" s="1" t="s">
        <v>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2" t="s">
        <v>91</v>
      </c>
      <c r="B3" s="13"/>
      <c r="C3" s="13"/>
      <c r="D3" s="13"/>
      <c r="E3" s="13"/>
      <c r="F3" s="13"/>
      <c r="G3" s="14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92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93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6" t="s">
        <v>94</v>
      </c>
      <c r="B8" s="16" t="s">
        <v>76</v>
      </c>
      <c r="C8" s="16" t="s">
        <v>77</v>
      </c>
      <c r="D8" s="16" t="s">
        <v>48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7" t="s">
        <v>76</v>
      </c>
      <c r="B9" s="20"/>
      <c r="C9" s="20"/>
      <c r="D9" s="22" t="str">
        <f>IF(AND(ABS(B9-1.07)&lt;0.2,ABS(C9-11.43)&lt;1),"✓","✗")</f>
        <v>✗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7" t="s">
        <v>77</v>
      </c>
      <c r="B10" s="20"/>
      <c r="C10" s="20"/>
      <c r="D10" s="22" t="str">
        <f>IF(AND(ABS(B10-11.43)&lt;1,ABS(C10-130.11)&lt;10),"✓","✗")</f>
        <v>✗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5" t="s">
        <v>95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2" t="s">
        <v>96</v>
      </c>
      <c r="B14" s="13"/>
      <c r="C14" s="13"/>
      <c r="D14" s="13"/>
      <c r="E14" s="13"/>
      <c r="F14" s="13"/>
      <c r="G14" s="14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5" t="s">
        <v>97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6" t="s">
        <v>94</v>
      </c>
      <c r="B18" s="16" t="s">
        <v>98</v>
      </c>
      <c r="C18" s="16" t="s">
        <v>99</v>
      </c>
      <c r="D18" s="16" t="s">
        <v>48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7" t="s">
        <v>76</v>
      </c>
      <c r="B19" s="18">
        <v>1.07</v>
      </c>
      <c r="C19" s="20"/>
      <c r="D19" s="22" t="str">
        <f>IF(ABS(C19-1.03)&lt;0.05,"✓","✗")</f>
        <v>✗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7" t="s">
        <v>77</v>
      </c>
      <c r="B20" s="18">
        <v>130.11</v>
      </c>
      <c r="C20" s="20"/>
      <c r="D20" s="22" t="str">
        <f>IF(ABS(C20-11.41)&lt;0.2,"✓","✗")</f>
        <v>✗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2" t="s">
        <v>100</v>
      </c>
      <c r="B23" s="13"/>
      <c r="C23" s="13"/>
      <c r="D23" s="13"/>
      <c r="E23" s="13"/>
      <c r="F23" s="13"/>
      <c r="G23" s="14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5" t="s">
        <v>101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5" t="s">
        <v>102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5" t="s">
        <v>103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6" t="s">
        <v>94</v>
      </c>
      <c r="B29" s="16" t="s">
        <v>104</v>
      </c>
      <c r="C29" s="16" t="s">
        <v>105</v>
      </c>
      <c r="D29" s="16" t="s">
        <v>106</v>
      </c>
      <c r="E29" s="16" t="s">
        <v>107</v>
      </c>
      <c r="F29" s="16" t="s">
        <v>108</v>
      </c>
      <c r="G29" s="16" t="s">
        <v>48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7" t="s">
        <v>76</v>
      </c>
      <c r="B30" s="18">
        <v>5.75</v>
      </c>
      <c r="C30" s="18">
        <v>1.03</v>
      </c>
      <c r="D30" s="20"/>
      <c r="E30" s="20"/>
      <c r="F30" s="20"/>
      <c r="G30" s="22" t="str">
        <f>IF(AND(ABS(E30-3.52)&lt;0.2,ABS(F30-7.98)&lt;0.2),"✓","✗")</f>
        <v>✗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7" t="s">
        <v>77</v>
      </c>
      <c r="B31" s="18">
        <v>33.16</v>
      </c>
      <c r="C31" s="18">
        <v>11.41</v>
      </c>
      <c r="D31" s="20"/>
      <c r="E31" s="20"/>
      <c r="F31" s="20"/>
      <c r="G31" s="22" t="str">
        <f>IF(AND(ABS(E31-8.51)&lt;1,ABS(F31-57.81)&lt;1),"✓","✗")</f>
        <v>✗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">
    <mergeCell ref="A3:G3"/>
    <mergeCell ref="A14:G14"/>
    <mergeCell ref="A23:G23"/>
  </mergeCells>
  <conditionalFormatting sqref="B9">
    <cfRule type="expression" dxfId="0" priority="1">
      <formula>ROUND(ABS(B9-1.07),3)&lt;=0.016</formula>
    </cfRule>
  </conditionalFormatting>
  <conditionalFormatting sqref="B9">
    <cfRule type="expression" dxfId="1" priority="2">
      <formula>AND(B9&lt;&gt;"", ROUND(ABS(B9-1.07),3)&gt;0.016)</formula>
    </cfRule>
  </conditionalFormatting>
  <conditionalFormatting sqref="C9">
    <cfRule type="expression" dxfId="0" priority="3">
      <formula>ROUND(ABS(C9-11.43),3)&lt;=0.171</formula>
    </cfRule>
  </conditionalFormatting>
  <conditionalFormatting sqref="C9">
    <cfRule type="expression" dxfId="1" priority="4">
      <formula>AND(C9&lt;&gt;"", ROUND(ABS(C9-11.43),3)&gt;0.171)</formula>
    </cfRule>
  </conditionalFormatting>
  <conditionalFormatting sqref="B10">
    <cfRule type="expression" dxfId="0" priority="5">
      <formula>ROUND(ABS(B10-11.43),3)&lt;=0.171</formula>
    </cfRule>
  </conditionalFormatting>
  <conditionalFormatting sqref="B10">
    <cfRule type="expression" dxfId="1" priority="6">
      <formula>AND(B10&lt;&gt;"", ROUND(ABS(B10-11.43),3)&gt;0.171)</formula>
    </cfRule>
  </conditionalFormatting>
  <conditionalFormatting sqref="C10">
    <cfRule type="expression" dxfId="0" priority="7">
      <formula>ROUND(ABS(C10-130.11),3)&lt;=1.952</formula>
    </cfRule>
  </conditionalFormatting>
  <conditionalFormatting sqref="C10">
    <cfRule type="expression" dxfId="1" priority="8">
      <formula>AND(C10&lt;&gt;"", ROUND(ABS(C10-130.11),3)&gt;1.952)</formula>
    </cfRule>
  </conditionalFormatting>
  <conditionalFormatting sqref="C19">
    <cfRule type="expression" dxfId="0" priority="9">
      <formula>ROUND(ABS(C19-1.03),3)&lt;=0.015</formula>
    </cfRule>
  </conditionalFormatting>
  <conditionalFormatting sqref="C19">
    <cfRule type="expression" dxfId="1" priority="10">
      <formula>AND(C19&lt;&gt;"", ROUND(ABS(C19-1.03),3)&gt;0.015)</formula>
    </cfRule>
  </conditionalFormatting>
  <conditionalFormatting sqref="C20">
    <cfRule type="expression" dxfId="0" priority="11">
      <formula>ROUND(ABS(C20-11.41),3)&lt;=0.171</formula>
    </cfRule>
  </conditionalFormatting>
  <conditionalFormatting sqref="C20">
    <cfRule type="expression" dxfId="1" priority="12">
      <formula>AND(C20&lt;&gt;"", ROUND(ABS(C20-11.41),3)&gt;0.171)</formula>
    </cfRule>
  </conditionalFormatting>
  <conditionalFormatting sqref="D30">
    <cfRule type="expression" dxfId="0" priority="13">
      <formula>ROUND(ABS(D30-2.22),3)&lt;=0.033</formula>
    </cfRule>
  </conditionalFormatting>
  <conditionalFormatting sqref="D30">
    <cfRule type="expression" dxfId="1" priority="14">
      <formula>AND(D30&lt;&gt;"", ROUND(ABS(D30-2.22),3)&gt;0.033)</formula>
    </cfRule>
  </conditionalFormatting>
  <conditionalFormatting sqref="E30">
    <cfRule type="expression" dxfId="0" priority="15">
      <formula>ROUND(ABS(E30-3.53),3)&lt;=0.053</formula>
    </cfRule>
  </conditionalFormatting>
  <conditionalFormatting sqref="E30">
    <cfRule type="expression" dxfId="1" priority="16">
      <formula>AND(E30&lt;&gt;"", ROUND(ABS(E30-3.53),3)&gt;0.053)</formula>
    </cfRule>
  </conditionalFormatting>
  <conditionalFormatting sqref="F30">
    <cfRule type="expression" dxfId="0" priority="17">
      <formula>ROUND(ABS(F30-7.97),3)&lt;=0.12</formula>
    </cfRule>
  </conditionalFormatting>
  <conditionalFormatting sqref="F30">
    <cfRule type="expression" dxfId="1" priority="18">
      <formula>AND(F30&lt;&gt;"", ROUND(ABS(F30-7.97),3)&gt;0.12)</formula>
    </cfRule>
  </conditionalFormatting>
  <conditionalFormatting sqref="D31">
    <cfRule type="expression" dxfId="0" priority="19">
      <formula>ROUND(ABS(D31-24.65),3)&lt;=0.37</formula>
    </cfRule>
  </conditionalFormatting>
  <conditionalFormatting sqref="D31">
    <cfRule type="expression" dxfId="1" priority="20">
      <formula>AND(D31&lt;&gt;"", ROUND(ABS(D31-24.65),3)&gt;0.37)</formula>
    </cfRule>
  </conditionalFormatting>
  <conditionalFormatting sqref="E31">
    <cfRule type="expression" dxfId="0" priority="21">
      <formula>ROUND(ABS(E31-8.51),3)&lt;=0.128</formula>
    </cfRule>
  </conditionalFormatting>
  <conditionalFormatting sqref="E31">
    <cfRule type="expression" dxfId="1" priority="22">
      <formula>AND(E31&lt;&gt;"", ROUND(ABS(E31-8.51),3)&gt;0.128)</formula>
    </cfRule>
  </conditionalFormatting>
  <conditionalFormatting sqref="F31">
    <cfRule type="expression" dxfId="0" priority="23">
      <formula>ROUND(ABS(F31-57.81),3)&lt;=0.867</formula>
    </cfRule>
  </conditionalFormatting>
  <conditionalFormatting sqref="F31">
    <cfRule type="expression" dxfId="1" priority="24">
      <formula>AND(F31&lt;&gt;"", ROUND(ABS(F31-57.81),3)&gt;0.867)</formula>
    </cfRule>
  </conditionalFormatting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5.0"/>
  </cols>
  <sheetData>
    <row r="1">
      <c r="A1" s="1" t="s">
        <v>109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2" t="s">
        <v>110</v>
      </c>
      <c r="B3" s="13"/>
      <c r="C3" s="13"/>
      <c r="D3" s="13"/>
      <c r="E3" s="13"/>
      <c r="F3" s="14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111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tr">
        <f> Cᵢⱼ / (√Cᵢᵢ × √Cⱼⱼ)</f>
        <v>#ERROR!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2" t="s">
        <v>112</v>
      </c>
      <c r="B9" s="13"/>
      <c r="C9" s="13"/>
      <c r="D9" s="13"/>
      <c r="E9" s="13"/>
      <c r="F9" s="14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5" t="s">
        <v>113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6" t="s">
        <v>114</v>
      </c>
      <c r="B13" s="16" t="s">
        <v>115</v>
      </c>
      <c r="C13" s="16" t="s">
        <v>116</v>
      </c>
      <c r="D13" s="16" t="s">
        <v>117</v>
      </c>
      <c r="E13" s="16" t="s">
        <v>118</v>
      </c>
      <c r="F13" s="16" t="s">
        <v>48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8">
        <v>11.43</v>
      </c>
      <c r="B14" s="18">
        <v>1.03</v>
      </c>
      <c r="C14" s="18">
        <v>11.41</v>
      </c>
      <c r="D14" s="20"/>
      <c r="E14" s="20"/>
      <c r="F14" s="22" t="str">
        <f>IF(ABS(E14-0.97)&lt;0.02,"✓","✗")</f>
        <v>✗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2" t="s">
        <v>119</v>
      </c>
      <c r="B17" s="13"/>
      <c r="C17" s="13"/>
      <c r="D17" s="13"/>
      <c r="E17" s="13"/>
      <c r="F17" s="14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5" t="s">
        <v>120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5" t="s">
        <v>121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0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5" t="s">
        <v>122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0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5" t="s">
        <v>123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0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2" t="s">
        <v>124</v>
      </c>
      <c r="B31" s="13"/>
      <c r="C31" s="13"/>
      <c r="D31" s="13"/>
      <c r="E31" s="13"/>
      <c r="F31" s="14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5" t="s">
        <v>125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5" t="s">
        <v>126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5" t="s">
        <v>127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5" t="s">
        <v>128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">
    <mergeCell ref="A3:F3"/>
    <mergeCell ref="A9:F9"/>
    <mergeCell ref="A17:F17"/>
    <mergeCell ref="A31:F31"/>
  </mergeCells>
  <conditionalFormatting sqref="D14">
    <cfRule type="expression" dxfId="0" priority="1">
      <formula>ROUND(ABS(D14-11.75),3)&lt;=0.176</formula>
    </cfRule>
  </conditionalFormatting>
  <conditionalFormatting sqref="D14">
    <cfRule type="expression" dxfId="1" priority="2">
      <formula>AND(D14&lt;&gt;"", ROUND(ABS(D14-11.75),3)&gt;0.176)</formula>
    </cfRule>
  </conditionalFormatting>
  <conditionalFormatting sqref="E14">
    <cfRule type="expression" dxfId="0" priority="3">
      <formula>ROUND(ABS(E14-0.97),3)&lt;=0.015</formula>
    </cfRule>
  </conditionalFormatting>
  <conditionalFormatting sqref="E14">
    <cfRule type="expression" dxfId="1" priority="4">
      <formula>AND(E14&lt;&gt;"", ROUND(ABS(E14-0.97),3)&gt;0.015)</formula>
    </cfRule>
  </conditionalFormatting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4.0"/>
  </cols>
  <sheetData>
    <row r="1">
      <c r="A1" s="1" t="s">
        <v>129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5" t="s">
        <v>130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2" t="s">
        <v>131</v>
      </c>
      <c r="B5" s="13"/>
      <c r="C5" s="13"/>
      <c r="D5" s="13"/>
      <c r="E5" s="13"/>
      <c r="F5" s="14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6" t="s">
        <v>46</v>
      </c>
      <c r="B7" s="16" t="s">
        <v>47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4">
        <v>13.0</v>
      </c>
      <c r="B8" s="18">
        <v>216.08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2" t="s">
        <v>132</v>
      </c>
      <c r="B11" s="13"/>
      <c r="C11" s="13"/>
      <c r="D11" s="13"/>
      <c r="E11" s="13"/>
      <c r="F11" s="14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5" t="s">
        <v>133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6" t="s">
        <v>63</v>
      </c>
      <c r="B15" s="16" t="s">
        <v>64</v>
      </c>
      <c r="C15" s="16" t="s">
        <v>66</v>
      </c>
      <c r="D15" s="16" t="s">
        <v>71</v>
      </c>
      <c r="E15" s="16" t="s">
        <v>72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7">
        <v>1.0</v>
      </c>
      <c r="B16" s="24">
        <v>7.6</v>
      </c>
      <c r="C16" s="18">
        <v>35.55</v>
      </c>
      <c r="D16" s="18">
        <v>6.18</v>
      </c>
      <c r="E16" s="18">
        <v>0.2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7">
        <v>2.0</v>
      </c>
      <c r="B17" s="24">
        <v>7.8</v>
      </c>
      <c r="C17" s="18">
        <v>36.31</v>
      </c>
      <c r="D17" s="18">
        <v>6.31</v>
      </c>
      <c r="E17" s="18">
        <v>0.209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7">
        <v>3.0</v>
      </c>
      <c r="B18" s="24">
        <v>12.0</v>
      </c>
      <c r="C18" s="18">
        <v>50.67</v>
      </c>
      <c r="D18" s="18">
        <v>8.81</v>
      </c>
      <c r="E18" s="18">
        <v>0.406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7">
        <v>4.0</v>
      </c>
      <c r="B19" s="24">
        <v>18.5</v>
      </c>
      <c r="C19" s="18">
        <v>68.28</v>
      </c>
      <c r="D19" s="18">
        <v>11.87</v>
      </c>
      <c r="E19" s="18">
        <v>0.737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7">
        <v>5.0</v>
      </c>
      <c r="B20" s="24">
        <v>25.7</v>
      </c>
      <c r="C20" s="18">
        <v>83.25</v>
      </c>
      <c r="D20" s="18">
        <v>14.48</v>
      </c>
      <c r="E20" s="18">
        <v>1.096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5" t="s">
        <v>134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6" t="s">
        <v>82</v>
      </c>
      <c r="B25" s="16" t="s">
        <v>83</v>
      </c>
      <c r="C25" s="16" t="s">
        <v>135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8">
        <v>2.254</v>
      </c>
      <c r="B26" s="18">
        <v>1.988</v>
      </c>
      <c r="C26" s="18">
        <v>0.266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6" t="s">
        <v>86</v>
      </c>
      <c r="B28" s="16" t="s">
        <v>87</v>
      </c>
      <c r="C28" s="16" t="s">
        <v>88</v>
      </c>
      <c r="D28" s="16" t="s">
        <v>89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8">
        <v>0.53</v>
      </c>
      <c r="B29" s="18">
        <v>5.3</v>
      </c>
      <c r="C29" s="18">
        <v>5.3</v>
      </c>
      <c r="D29" s="18">
        <v>60.53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2" t="s">
        <v>136</v>
      </c>
      <c r="B32" s="13"/>
      <c r="C32" s="13"/>
      <c r="D32" s="13"/>
      <c r="E32" s="13"/>
      <c r="F32" s="14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5" t="s">
        <v>137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3"/>
      <c r="B36" s="16" t="s">
        <v>76</v>
      </c>
      <c r="C36" s="16" t="s">
        <v>77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6" t="s">
        <v>76</v>
      </c>
      <c r="B37" s="18">
        <v>1.07</v>
      </c>
      <c r="C37" s="18">
        <v>11.43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6" t="s">
        <v>77</v>
      </c>
      <c r="B38" s="18">
        <v>11.43</v>
      </c>
      <c r="C38" s="18">
        <v>130.11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5" t="s">
        <v>138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6" t="s">
        <v>94</v>
      </c>
      <c r="B42" s="16" t="s">
        <v>139</v>
      </c>
      <c r="C42" s="16" t="s">
        <v>105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7" t="s">
        <v>76</v>
      </c>
      <c r="B43" s="24">
        <v>1.07</v>
      </c>
      <c r="C43" s="18">
        <v>1.03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7" t="s">
        <v>77</v>
      </c>
      <c r="B44" s="24">
        <v>130.11</v>
      </c>
      <c r="C44" s="18">
        <v>11.41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5" t="s">
        <v>140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6" t="s">
        <v>94</v>
      </c>
      <c r="B48" s="16" t="s">
        <v>104</v>
      </c>
      <c r="C48" s="16" t="s">
        <v>105</v>
      </c>
      <c r="D48" s="16" t="s">
        <v>106</v>
      </c>
      <c r="E48" s="16" t="s">
        <v>107</v>
      </c>
      <c r="F48" s="16" t="s">
        <v>108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7" t="s">
        <v>76</v>
      </c>
      <c r="B49" s="24">
        <v>5.75</v>
      </c>
      <c r="C49" s="24">
        <v>1.03</v>
      </c>
      <c r="D49" s="18">
        <v>2.22</v>
      </c>
      <c r="E49" s="18">
        <v>3.53</v>
      </c>
      <c r="F49" s="18">
        <v>7.97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7" t="s">
        <v>77</v>
      </c>
      <c r="B50" s="24">
        <v>33.16</v>
      </c>
      <c r="C50" s="24">
        <v>11.41</v>
      </c>
      <c r="D50" s="18">
        <v>24.65</v>
      </c>
      <c r="E50" s="18">
        <v>8.51</v>
      </c>
      <c r="F50" s="18">
        <v>57.81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12" t="s">
        <v>141</v>
      </c>
      <c r="B53" s="13"/>
      <c r="C53" s="13"/>
      <c r="D53" s="13"/>
      <c r="E53" s="13"/>
      <c r="F53" s="14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16" t="s">
        <v>114</v>
      </c>
      <c r="B55" s="16" t="s">
        <v>115</v>
      </c>
      <c r="C55" s="16" t="s">
        <v>116</v>
      </c>
      <c r="D55" s="16" t="s">
        <v>117</v>
      </c>
      <c r="E55" s="16" t="s">
        <v>118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4">
        <v>11.43</v>
      </c>
      <c r="B56" s="24">
        <v>1.03</v>
      </c>
      <c r="C56" s="24">
        <v>11.41</v>
      </c>
      <c r="D56" s="18">
        <v>11.75</v>
      </c>
      <c r="E56" s="18">
        <v>0.97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15" t="s">
        <v>142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5" t="s">
        <v>143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5" t="s">
        <v>144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5" t="s">
        <v>145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5" t="s">
        <v>146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5" t="s">
        <v>147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">
    <mergeCell ref="A5:F5"/>
    <mergeCell ref="A11:F11"/>
    <mergeCell ref="A32:F32"/>
    <mergeCell ref="A53:F53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2026-03-18T00:50:44Z</dcterms:created>
  <dc:creator>openpyxl</dc:creator>
</cp:coreProperties>
</file>