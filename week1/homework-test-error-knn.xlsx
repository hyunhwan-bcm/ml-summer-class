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fb075b9d3cd2181/문서/GitHub/ml-summer-class/week1/"/>
    </mc:Choice>
  </mc:AlternateContent>
  <xr:revisionPtr revIDLastSave="1" documentId="11_A5FB8FF0E29FCB78D01B6546ADB85043FC012748" xr6:coauthVersionLast="47" xr6:coauthVersionMax="47" xr10:uidLastSave="{AE222F79-7E8C-439D-8DBA-65D5A5FE7D4E}"/>
  <bookViews>
    <workbookView xWindow="2210" yWindow="-15950" windowWidth="21600" windowHeight="12660" tabRatio="500" activeTab="3" xr2:uid="{00000000-000D-0000-FFFF-FFFF00000000}"/>
  </bookViews>
  <sheets>
    <sheet name="Instructions" sheetId="1" r:id="rId1"/>
    <sheet name="Step1_Train_Test_MSE" sheetId="2" r:id="rId2"/>
    <sheet name="Step2_Bias_Variance" sheetId="3" r:id="rId3"/>
    <sheet name="Step3_KNN" sheetId="4" r:id="rId4"/>
    <sheet name="Answer_Key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7" i="4" l="1"/>
  <c r="H25" i="4"/>
  <c r="H23" i="4"/>
  <c r="G17" i="4"/>
  <c r="G16" i="4"/>
  <c r="G15" i="4"/>
  <c r="G14" i="4"/>
  <c r="G13" i="4"/>
  <c r="G12" i="4"/>
  <c r="H18" i="3"/>
  <c r="H16" i="3"/>
  <c r="F14" i="3"/>
  <c r="F13" i="3"/>
  <c r="F12" i="3"/>
  <c r="H33" i="2"/>
  <c r="H31" i="2"/>
  <c r="H29" i="2"/>
  <c r="G27" i="2"/>
  <c r="G26" i="2"/>
  <c r="G25" i="2"/>
  <c r="H20" i="2"/>
  <c r="H18" i="2"/>
  <c r="G16" i="2"/>
  <c r="G15" i="2"/>
  <c r="G14" i="2"/>
  <c r="G13" i="2"/>
  <c r="G12" i="2"/>
</calcChain>
</file>

<file path=xl/sharedStrings.xml><?xml version="1.0" encoding="utf-8"?>
<sst xmlns="http://schemas.openxmlformats.org/spreadsheetml/2006/main" count="138" uniqueCount="112">
  <si>
    <t>[Description] Test Error, Bias–Variance &amp; KNN</t>
  </si>
  <si>
    <t>Test Error, Bias–Variance &amp; KNN — Homework Worksheet</t>
  </si>
  <si>
    <t>ML Summer Class · fill the YELLOW cells; each entry is auto-checked (✓/✗).</t>
  </si>
  <si>
    <t>Learning Objectives:</t>
  </si>
  <si>
    <t>1. Compute training and test MSE and see overfitting with your own hands</t>
  </si>
  <si>
    <t>2. Decompose expected test error into bias² + variance + irreducible noise</t>
  </si>
  <si>
    <t>3. Run the KNN classifier manually for K=1 and K=3</t>
  </si>
  <si>
    <t>Readings &amp; Slides:</t>
  </si>
  <si>
    <t>• ISLP §2.2 (Assessing Model Accuracy), §2.2.3 (Classification)</t>
  </si>
  <si>
    <t>• Week 1 slides: "Measuring the quality of fit", "The bias-variance trade-off", "K-Nearest Neighbors"</t>
  </si>
  <si>
    <t>Key Formulas:</t>
  </si>
  <si>
    <t>MSE</t>
  </si>
  <si>
    <t>MSE = (1/n) Σ (yᵢ - ŷᵢ)²</t>
  </si>
  <si>
    <t>Decomposition</t>
  </si>
  <si>
    <t>E[(y₀-f̂(x₀))²] = Var(f̂(x₀)) + [Bias(f̂(x₀))]² + Var(ε)</t>
  </si>
  <si>
    <t>KNN</t>
  </si>
  <si>
    <t>Pr(Y=j|X=x₀) ≈ (1/K) Σ_{i∈N₀} I(yᵢ=j)</t>
  </si>
  <si>
    <t>Color Guide:</t>
  </si>
  <si>
    <t>Given Data (Input)</t>
  </si>
  <si>
    <t>Formula Hint</t>
  </si>
  <si>
    <t>Your Answer (fill this!)</t>
  </si>
  <si>
    <t>✓ = correct   ✗ = incorrect (recheck your formula)</t>
  </si>
  <si>
    <t>[Description] STEP 1: Compute train &amp; test MSE for a simple and a flexible model</t>
  </si>
  <si>
    <t>Two models, two datasets</t>
  </si>
  <si>
    <t>ISLP §2.2.1 · Week 1 slide "Measuring the quality of fit"</t>
  </si>
  <si>
    <t>Model A is a simple linear fit; Model B is very flexible (it interpolates the training data).</t>
  </si>
  <si>
    <t>STEP 1a: TRAINING data — fill the squared errors, then each MSE</t>
  </si>
  <si>
    <t>i</t>
  </si>
  <si>
    <t>yᵢ</t>
  </si>
  <si>
    <t>ŷᵢ (A)</t>
  </si>
  <si>
    <t>ŷᵢ (B)</t>
  </si>
  <si>
    <t>(yᵢ-ŷA)²</t>
  </si>
  <si>
    <t>(yᵢ-ŷB)²</t>
  </si>
  <si>
    <t>Check</t>
  </si>
  <si>
    <t>Train MSE, Model A =</t>
  </si>
  <si>
    <t>SUM of column (yᵢ-ŷA)² / 5</t>
  </si>
  <si>
    <t>Your Answer:</t>
  </si>
  <si>
    <t>Train MSE, Model B =</t>
  </si>
  <si>
    <t>SUM of column (yᵢ-ŷB)² / 5</t>
  </si>
  <si>
    <t>STEP 1b: TEST data (new observations!)</t>
  </si>
  <si>
    <t>Test MSE, Model A =</t>
  </si>
  <si>
    <t>SUM / 3</t>
  </si>
  <si>
    <t>Test MSE, Model B =</t>
  </si>
  <si>
    <t>Which model overfits? (A/B)</t>
  </si>
  <si>
    <t>the one with lower TRAIN but higher TEST error</t>
  </si>
  <si>
    <t>[Description] STEP 2: Bias-variance decomposition at three flexibility levels</t>
  </si>
  <si>
    <t>Adding up the three sources of error</t>
  </si>
  <si>
    <t>ISLP §2.2.2 · Week 1 slide "The bias-variance trade-off, precisely"</t>
  </si>
  <si>
    <t>For one test point, simulations give the components below. Var(ε) = 1 everywhere.</t>
  </si>
  <si>
    <t>Fill Expected Test Error = Bias² + Variance + Var(ε)</t>
  </si>
  <si>
    <t>Flexibility</t>
  </si>
  <si>
    <t>Bias²</t>
  </si>
  <si>
    <t>Variance</t>
  </si>
  <si>
    <t>Var(ε)</t>
  </si>
  <si>
    <t>Expected Test Error</t>
  </si>
  <si>
    <t>Low (linear)</t>
  </si>
  <si>
    <t>Medium (spline)</t>
  </si>
  <si>
    <t>High (deep tree)</t>
  </si>
  <si>
    <t>Which flexibility wins? (Low/Medium/High)</t>
  </si>
  <si>
    <t>smallest total</t>
  </si>
  <si>
    <t>Best possible error at this point =</t>
  </si>
  <si>
    <t>no model beats Var(ε)</t>
  </si>
  <si>
    <t>[Description] STEP 3: Classify a test point with KNN, K=1 and K=3</t>
  </si>
  <si>
    <t>KNN by hand</t>
  </si>
  <si>
    <t>ISLP §2.2.3 · Week 1 slides "K-Nearest Neighbors", "KNN in action"</t>
  </si>
  <si>
    <t>Training points with classes; test point x₀ = (3, 3).</t>
  </si>
  <si>
    <t>STEP 3a: squared Euclidean distance to x₀, then rank (1 = closest)</t>
  </si>
  <si>
    <t>X₁</t>
  </si>
  <si>
    <t>X₂</t>
  </si>
  <si>
    <t>Class</t>
  </si>
  <si>
    <t>d² to (3,3)</t>
  </si>
  <si>
    <t>Rank</t>
  </si>
  <si>
    <t>Blue</t>
  </si>
  <si>
    <t>Orange</t>
  </si>
  <si>
    <t>(tie in distance → give both the average rank, e.g. 5.5 and 5.5)</t>
  </si>
  <si>
    <t>STEP 3b: vote</t>
  </si>
  <si>
    <t>K=1 prediction (Blue/Orange)</t>
  </si>
  <si>
    <t>class of rank-1 point</t>
  </si>
  <si>
    <t>K=3: Pr(Blue | x₀) =</t>
  </si>
  <si>
    <t>fraction of Blue among 3 nearest</t>
  </si>
  <si>
    <t>K=3 prediction (Blue/Orange)</t>
  </si>
  <si>
    <t>majority of 3 nearest</t>
  </si>
  <si>
    <t>[Description] ANSWER KEY - all solutions. No peeking until you have tried!</t>
  </si>
  <si>
    <t>ANSWER KEY</t>
  </si>
  <si>
    <t>STEP 1: Train/Test MSE</t>
  </si>
  <si>
    <t>Train MSE A</t>
  </si>
  <si>
    <t>Train MSE B</t>
  </si>
  <si>
    <t>Test MSE A</t>
  </si>
  <si>
    <t>Test MSE B</t>
  </si>
  <si>
    <t>Squared errors A (train)</t>
  </si>
  <si>
    <t>0.25, 0.25, 1, 0.25, 0.25</t>
  </si>
  <si>
    <t>Squared errors A (test)</t>
  </si>
  <si>
    <t>4, 2.25, 0</t>
  </si>
  <si>
    <t>Squared errors B (test)</t>
  </si>
  <si>
    <t>16, 4, 4</t>
  </si>
  <si>
    <t>Overfitting model</t>
  </si>
  <si>
    <t>B</t>
  </si>
  <si>
    <t>STEP 2: Bias-Variance</t>
  </si>
  <si>
    <t>Totals (Low/Med/High)</t>
  </si>
  <si>
    <t>5.5 / 3.0 / 4.5</t>
  </si>
  <si>
    <t>Winner</t>
  </si>
  <si>
    <t>Medium</t>
  </si>
  <si>
    <t>Irreducible floor</t>
  </si>
  <si>
    <t>STEP 3: KNN</t>
  </si>
  <si>
    <t>d² values (i=1..6)</t>
  </si>
  <si>
    <t>5, 1, 2, 8, 4, 8</t>
  </si>
  <si>
    <t>Ranks</t>
  </si>
  <si>
    <t>4, 1, 2, 5.5, 3, 5.5</t>
  </si>
  <si>
    <t>K=1 prediction</t>
  </si>
  <si>
    <t>Pr(Blue|x₀), K=3</t>
  </si>
  <si>
    <t>2/3 ≈ 0.667</t>
  </si>
  <si>
    <t>K=3 prediction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</si>
</sst>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sz val="11"/>
      <color rgb="FF505050"/>
      <name val="Cambria"/>
      <charset val="1"/>
    </font>
    <font>
      <b/>
      <sz val="12"/>
      <name val="Cambria"/>
      <charset val="1"/>
    </font>
    <font>
      <b/>
      <sz val="11"/>
      <name val="Calibri"/>
      <charset val="1"/>
    </font>
    <font>
      <b/>
      <sz val="11"/>
      <name val="Cambria"/>
      <charset val="1"/>
    </font>
    <font>
      <sz val="11"/>
      <name val="Calibri"/>
      <charset val="1"/>
    </font>
    <font>
      <i/>
      <sz val="10"/>
      <color rgb="FF1E64C8"/>
      <name val="Calibri"/>
      <charset val="1"/>
    </font>
    <font>
      <b/>
      <sz val="11"/>
      <color rgb="FFFFFFFF"/>
      <name val="Cambria"/>
      <charset val="1"/>
    </font>
  </fonts>
  <fills count="8">
    <fill>
      <patternFill patternType="none"/>
    </fill>
    <fill>
      <patternFill patternType="gray125"/>
    </fill>
    <fill>
      <patternFill patternType="solid">
        <fgColor rgb="FFF0F8FF"/>
        <bgColor rgb="FFF2F2F2"/>
      </patternFill>
    </fill>
    <fill>
      <patternFill patternType="solid">
        <fgColor rgb="FFF2F2F2"/>
        <bgColor rgb="FFF0F8FF"/>
      </patternFill>
    </fill>
    <fill>
      <patternFill patternType="solid">
        <fgColor rgb="FFD8E4BC"/>
        <bgColor rgb="FFDAEEF3"/>
      </patternFill>
    </fill>
    <fill>
      <patternFill patternType="solid">
        <fgColor rgb="FFDAEEF3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4472C4"/>
        <bgColor rgb="FF1E64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5" fillId="3" borderId="0" xfId="0" applyFont="1" applyFill="1"/>
    <xf numFmtId="0" fontId="1" fillId="2" borderId="0" xfId="0" applyFont="1" applyFill="1"/>
    <xf numFmtId="0" fontId="2" fillId="3" borderId="0" xfId="0" applyFont="1" applyFill="1"/>
    <xf numFmtId="0" fontId="3" fillId="0" borderId="0" xfId="0" applyFont="1"/>
    <xf numFmtId="0" fontId="4" fillId="4" borderId="0" xfId="0" applyFont="1" applyFill="1"/>
    <xf numFmtId="0" fontId="5" fillId="0" borderId="0" xfId="0" applyFont="1"/>
    <xf numFmtId="0" fontId="5" fillId="3" borderId="0" xfId="0" applyFont="1" applyFill="1"/>
    <xf numFmtId="0" fontId="5" fillId="5" borderId="0" xfId="0" applyFont="1" applyFill="1"/>
    <xf numFmtId="0" fontId="5" fillId="6" borderId="0" xfId="0" applyFont="1" applyFill="1"/>
    <xf numFmtId="0" fontId="6" fillId="0" borderId="0" xfId="0" applyFont="1"/>
    <xf numFmtId="0" fontId="7" fillId="7" borderId="0" xfId="0" applyFont="1" applyFill="1"/>
    <xf numFmtId="0" fontId="0" fillId="6" borderId="0" xfId="0" applyFill="1"/>
  </cellXfs>
  <cellStyles count="1">
    <cellStyle name="Normal" xfId="0" builtinId="0"/>
  </cellStyles>
  <dxfs count="6">
    <dxf>
      <font>
        <b/>
        <color rgb="FFC00000"/>
      </font>
    </dxf>
    <dxf>
      <font>
        <b/>
        <color rgb="FF107C10"/>
      </font>
    </dxf>
    <dxf>
      <font>
        <b/>
        <color rgb="FFC00000"/>
      </font>
    </dxf>
    <dxf>
      <font>
        <b/>
        <color rgb="FF107C10"/>
      </font>
    </dxf>
    <dxf>
      <font>
        <b/>
        <color rgb="FFC00000"/>
      </font>
    </dxf>
    <dxf>
      <font>
        <b/>
        <color rgb="FF107C1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AEEF3"/>
      <rgbColor rgb="FF660066"/>
      <rgbColor rgb="FFFF8080"/>
      <rgbColor rgb="FF1E64C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8FF"/>
      <rgbColor rgb="FFD8E4B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zoomScaleNormal="100" workbookViewId="0"/>
  </sheetViews>
  <sheetFormatPr defaultColWidth="8.6328125" defaultRowHeight="14.5" x14ac:dyDescent="0.35"/>
  <cols>
    <col min="1" max="1" width="30" customWidth="1"/>
    <col min="2" max="2" width="52" customWidth="1"/>
    <col min="3" max="3" width="14" customWidth="1"/>
    <col min="4" max="4" width="12" customWidth="1"/>
    <col min="5" max="5" width="8" customWidth="1"/>
  </cols>
  <sheetData>
    <row r="1" spans="1:1" x14ac:dyDescent="0.35">
      <c r="A1" s="2" t="s">
        <v>0</v>
      </c>
    </row>
    <row r="3" spans="1:1" ht="15.5" x14ac:dyDescent="0.35">
      <c r="A3" s="3" t="s">
        <v>1</v>
      </c>
    </row>
    <row r="5" spans="1:1" x14ac:dyDescent="0.35">
      <c r="A5" s="4" t="s">
        <v>2</v>
      </c>
    </row>
    <row r="7" spans="1:1" x14ac:dyDescent="0.35">
      <c r="A7" s="5" t="s">
        <v>3</v>
      </c>
    </row>
    <row r="9" spans="1:1" x14ac:dyDescent="0.35">
      <c r="A9" s="6" t="s">
        <v>4</v>
      </c>
    </row>
    <row r="10" spans="1:1" x14ac:dyDescent="0.35">
      <c r="A10" s="6" t="s">
        <v>5</v>
      </c>
    </row>
    <row r="11" spans="1:1" x14ac:dyDescent="0.35">
      <c r="A11" s="6" t="s">
        <v>6</v>
      </c>
    </row>
    <row r="13" spans="1:1" x14ac:dyDescent="0.35">
      <c r="A13" s="5" t="s">
        <v>7</v>
      </c>
    </row>
    <row r="15" spans="1:1" x14ac:dyDescent="0.35">
      <c r="A15" s="6" t="s">
        <v>8</v>
      </c>
    </row>
    <row r="16" spans="1:1" x14ac:dyDescent="0.35">
      <c r="A16" s="6" t="s">
        <v>9</v>
      </c>
    </row>
    <row r="18" spans="1:2" x14ac:dyDescent="0.35">
      <c r="A18" s="5" t="s">
        <v>10</v>
      </c>
    </row>
    <row r="20" spans="1:2" x14ac:dyDescent="0.35">
      <c r="A20" s="6" t="s">
        <v>11</v>
      </c>
      <c r="B20" s="7" t="s">
        <v>12</v>
      </c>
    </row>
    <row r="21" spans="1:2" x14ac:dyDescent="0.35">
      <c r="A21" s="6" t="s">
        <v>13</v>
      </c>
      <c r="B21" s="7" t="s">
        <v>14</v>
      </c>
    </row>
    <row r="22" spans="1:2" x14ac:dyDescent="0.35">
      <c r="A22" s="6" t="s">
        <v>15</v>
      </c>
      <c r="B22" s="7" t="s">
        <v>16</v>
      </c>
    </row>
    <row r="24" spans="1:2" x14ac:dyDescent="0.35">
      <c r="A24" s="5" t="s">
        <v>17</v>
      </c>
    </row>
    <row r="26" spans="1:2" x14ac:dyDescent="0.35">
      <c r="B26" s="8" t="s">
        <v>18</v>
      </c>
    </row>
    <row r="27" spans="1:2" x14ac:dyDescent="0.35">
      <c r="B27" s="7" t="s">
        <v>19</v>
      </c>
    </row>
    <row r="28" spans="1:2" x14ac:dyDescent="0.35">
      <c r="B28" s="9" t="s">
        <v>20</v>
      </c>
    </row>
    <row r="29" spans="1:2" x14ac:dyDescent="0.35">
      <c r="A29" s="6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zoomScaleNormal="100" workbookViewId="0"/>
  </sheetViews>
  <sheetFormatPr defaultColWidth="8.6328125" defaultRowHeight="14.5" x14ac:dyDescent="0.35"/>
  <cols>
    <col min="1" max="1" width="8" customWidth="1"/>
    <col min="2" max="4" width="10" customWidth="1"/>
    <col min="5" max="6" width="12" customWidth="1"/>
    <col min="7" max="7" width="8" customWidth="1"/>
  </cols>
  <sheetData>
    <row r="1" spans="1:7" x14ac:dyDescent="0.35">
      <c r="A1" s="2" t="s">
        <v>22</v>
      </c>
    </row>
    <row r="3" spans="1:7" ht="15.5" x14ac:dyDescent="0.35">
      <c r="A3" s="3" t="s">
        <v>23</v>
      </c>
    </row>
    <row r="5" spans="1:7" x14ac:dyDescent="0.35">
      <c r="A5" s="10" t="s">
        <v>24</v>
      </c>
    </row>
    <row r="7" spans="1:7" x14ac:dyDescent="0.35">
      <c r="A7" s="6" t="s">
        <v>25</v>
      </c>
    </row>
    <row r="9" spans="1:7" x14ac:dyDescent="0.35">
      <c r="A9" s="5" t="s">
        <v>26</v>
      </c>
    </row>
    <row r="11" spans="1:7" x14ac:dyDescent="0.35">
      <c r="A11" s="11" t="s">
        <v>27</v>
      </c>
      <c r="B11" s="11" t="s">
        <v>28</v>
      </c>
      <c r="C11" s="11" t="s">
        <v>29</v>
      </c>
      <c r="D11" s="11" t="s">
        <v>30</v>
      </c>
      <c r="E11" s="11" t="s">
        <v>31</v>
      </c>
      <c r="F11" s="11" t="s">
        <v>32</v>
      </c>
      <c r="G11" s="11" t="s">
        <v>33</v>
      </c>
    </row>
    <row r="12" spans="1:7" x14ac:dyDescent="0.35">
      <c r="A12" s="8">
        <v>1</v>
      </c>
      <c r="B12" s="8">
        <v>3</v>
      </c>
      <c r="C12" s="8">
        <v>3.5</v>
      </c>
      <c r="D12" s="8">
        <v>3</v>
      </c>
      <c r="E12" s="9"/>
      <c r="F12" s="9"/>
      <c r="G12" s="6" t="str">
        <f>IF(COUNT(E12:F12)=0,"",IF(AND(ROUND(E12,3)=ROUND(0.25,3),ROUND(F12,3)=ROUND(0,3)),"✓","✗"))</f>
        <v/>
      </c>
    </row>
    <row r="13" spans="1:7" x14ac:dyDescent="0.35">
      <c r="A13" s="8">
        <v>2</v>
      </c>
      <c r="B13" s="8">
        <v>5</v>
      </c>
      <c r="C13" s="8">
        <v>4.5</v>
      </c>
      <c r="D13" s="8">
        <v>5</v>
      </c>
      <c r="E13" s="9"/>
      <c r="F13" s="9"/>
      <c r="G13" s="6" t="str">
        <f>IF(COUNT(E13:F13)=0,"",IF(AND(ROUND(E13,3)=ROUND(0.25,3),ROUND(F13,3)=ROUND(0,3)),"✓","✗"))</f>
        <v/>
      </c>
    </row>
    <row r="14" spans="1:7" x14ac:dyDescent="0.35">
      <c r="A14" s="8">
        <v>3</v>
      </c>
      <c r="B14" s="8">
        <v>4</v>
      </c>
      <c r="C14" s="8">
        <v>5</v>
      </c>
      <c r="D14" s="8">
        <v>4</v>
      </c>
      <c r="E14" s="9"/>
      <c r="F14" s="9"/>
      <c r="G14" s="6" t="str">
        <f>IF(COUNT(E14:F14)=0,"",IF(AND(ROUND(E14,3)=ROUND(1,3),ROUND(F14,3)=ROUND(0,3)),"✓","✗"))</f>
        <v/>
      </c>
    </row>
    <row r="15" spans="1:7" x14ac:dyDescent="0.35">
      <c r="A15" s="8">
        <v>4</v>
      </c>
      <c r="B15" s="8">
        <v>6</v>
      </c>
      <c r="C15" s="8">
        <v>5.5</v>
      </c>
      <c r="D15" s="8">
        <v>6</v>
      </c>
      <c r="E15" s="9"/>
      <c r="F15" s="9"/>
      <c r="G15" s="6" t="str">
        <f>IF(COUNT(E15:F15)=0,"",IF(AND(ROUND(E15,3)=ROUND(0.25,3),ROUND(F15,3)=ROUND(0,3)),"✓","✗"))</f>
        <v/>
      </c>
    </row>
    <row r="16" spans="1:7" x14ac:dyDescent="0.35">
      <c r="A16" s="8">
        <v>5</v>
      </c>
      <c r="B16" s="8">
        <v>7</v>
      </c>
      <c r="C16" s="8">
        <v>6.5</v>
      </c>
      <c r="D16" s="8">
        <v>7</v>
      </c>
      <c r="E16" s="9"/>
      <c r="F16" s="9"/>
      <c r="G16" s="6" t="str">
        <f>IF(COUNT(E16:F16)=0,"",IF(AND(ROUND(E16,3)=ROUND(0.25,3),ROUND(F16,3)=ROUND(0,3)),"✓","✗"))</f>
        <v/>
      </c>
    </row>
    <row r="18" spans="1:8" x14ac:dyDescent="0.35">
      <c r="A18" s="6" t="s">
        <v>34</v>
      </c>
      <c r="D18" s="1" t="s">
        <v>35</v>
      </c>
      <c r="E18" s="1"/>
      <c r="F18" s="6" t="s">
        <v>36</v>
      </c>
      <c r="G18" s="12"/>
      <c r="H18" s="6" t="str">
        <f>IF(G18="","",IF(ROUND(G18,3)=ROUND(0.4,3),"✓","✗"))</f>
        <v/>
      </c>
    </row>
    <row r="20" spans="1:8" x14ac:dyDescent="0.35">
      <c r="A20" s="6" t="s">
        <v>37</v>
      </c>
      <c r="D20" s="1" t="s">
        <v>38</v>
      </c>
      <c r="E20" s="1"/>
      <c r="F20" s="6" t="s">
        <v>36</v>
      </c>
      <c r="G20" s="12"/>
      <c r="H20" s="6" t="str">
        <f>IF(G20="","",IF(ROUND(G20,3)=ROUND(0,3),"✓","✗"))</f>
        <v/>
      </c>
    </row>
    <row r="22" spans="1:8" x14ac:dyDescent="0.35">
      <c r="A22" s="5" t="s">
        <v>39</v>
      </c>
    </row>
    <row r="24" spans="1:8" x14ac:dyDescent="0.35">
      <c r="A24" s="11" t="s">
        <v>27</v>
      </c>
      <c r="B24" s="11" t="s">
        <v>28</v>
      </c>
      <c r="C24" s="11" t="s">
        <v>29</v>
      </c>
      <c r="D24" s="11" t="s">
        <v>30</v>
      </c>
      <c r="E24" s="11" t="s">
        <v>31</v>
      </c>
      <c r="F24" s="11" t="s">
        <v>32</v>
      </c>
      <c r="G24" s="11" t="s">
        <v>33</v>
      </c>
    </row>
    <row r="25" spans="1:8" x14ac:dyDescent="0.35">
      <c r="A25" s="8">
        <v>6</v>
      </c>
      <c r="B25" s="8">
        <v>5</v>
      </c>
      <c r="C25" s="8">
        <v>7</v>
      </c>
      <c r="D25" s="8">
        <v>9</v>
      </c>
      <c r="E25" s="9"/>
      <c r="F25" s="9"/>
      <c r="G25" s="6" t="str">
        <f>IF(COUNT(E25:F25)=0,"",IF(AND(ROUND(E25,3)=ROUND(4,3),ROUND(F25,3)=ROUND(16,3)),"✓","✗"))</f>
        <v/>
      </c>
    </row>
    <row r="26" spans="1:8" x14ac:dyDescent="0.35">
      <c r="A26" s="8">
        <v>7</v>
      </c>
      <c r="B26" s="8">
        <v>6</v>
      </c>
      <c r="C26" s="8">
        <v>7.5</v>
      </c>
      <c r="D26" s="8">
        <v>4</v>
      </c>
      <c r="E26" s="9"/>
      <c r="F26" s="9"/>
      <c r="G26" s="6" t="str">
        <f>IF(COUNT(E26:F26)=0,"",IF(AND(ROUND(E26,3)=ROUND(2.25,3),ROUND(F26,3)=ROUND(4,3)),"✓","✗"))</f>
        <v/>
      </c>
    </row>
    <row r="27" spans="1:8" x14ac:dyDescent="0.35">
      <c r="A27" s="8">
        <v>8</v>
      </c>
      <c r="B27" s="8">
        <v>8</v>
      </c>
      <c r="C27" s="8">
        <v>8</v>
      </c>
      <c r="D27" s="8">
        <v>10</v>
      </c>
      <c r="E27" s="9"/>
      <c r="F27" s="9"/>
      <c r="G27" s="6" t="str">
        <f>IF(COUNT(E27:F27)=0,"",IF(AND(ROUND(E27,3)=ROUND(0,3),ROUND(F27,3)=ROUND(4,3)),"✓","✗"))</f>
        <v/>
      </c>
    </row>
    <row r="29" spans="1:8" x14ac:dyDescent="0.35">
      <c r="A29" s="6" t="s">
        <v>40</v>
      </c>
      <c r="D29" s="1" t="s">
        <v>41</v>
      </c>
      <c r="E29" s="1"/>
      <c r="F29" s="6" t="s">
        <v>36</v>
      </c>
      <c r="G29" s="12"/>
      <c r="H29" s="6" t="str">
        <f>IF(G29="","",IF(ROUND(G29,3)=ROUND(2.083333,3),"✓","✗"))</f>
        <v/>
      </c>
    </row>
    <row r="31" spans="1:8" x14ac:dyDescent="0.35">
      <c r="A31" s="6" t="s">
        <v>42</v>
      </c>
      <c r="D31" s="1" t="s">
        <v>41</v>
      </c>
      <c r="E31" s="1"/>
      <c r="F31" s="6" t="s">
        <v>36</v>
      </c>
      <c r="G31" s="12"/>
      <c r="H31" s="6" t="str">
        <f>IF(G31="","",IF(ROUND(G31,3)=ROUND(8,3),"✓","✗"))</f>
        <v/>
      </c>
    </row>
    <row r="33" spans="1:8" x14ac:dyDescent="0.35">
      <c r="A33" s="6" t="s">
        <v>43</v>
      </c>
      <c r="D33" s="1" t="s">
        <v>44</v>
      </c>
      <c r="E33" s="1"/>
      <c r="F33" s="6" t="s">
        <v>36</v>
      </c>
      <c r="G33" s="12"/>
      <c r="H33" s="6" t="str">
        <f>IF(G33="","",IF(UPPER(TRIM(G33))=UPPER("B"),"✓","✗"))</f>
        <v/>
      </c>
    </row>
  </sheetData>
  <mergeCells count="5">
    <mergeCell ref="D18:E18"/>
    <mergeCell ref="D20:E20"/>
    <mergeCell ref="D29:E29"/>
    <mergeCell ref="D31:E31"/>
    <mergeCell ref="D33:E33"/>
  </mergeCells>
  <conditionalFormatting sqref="A1:J33">
    <cfRule type="cellIs" dxfId="5" priority="2" operator="equal">
      <formula>"✓"</formula>
    </cfRule>
    <cfRule type="cellIs" dxfId="4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8"/>
  <sheetViews>
    <sheetView zoomScaleNormal="100" workbookViewId="0"/>
  </sheetViews>
  <sheetFormatPr defaultColWidth="8.6328125" defaultRowHeight="14.5" x14ac:dyDescent="0.35"/>
  <cols>
    <col min="1" max="1" width="16" customWidth="1"/>
    <col min="2" max="4" width="10" customWidth="1"/>
    <col min="5" max="5" width="20" customWidth="1"/>
    <col min="6" max="6" width="8" customWidth="1"/>
  </cols>
  <sheetData>
    <row r="1" spans="1:8" x14ac:dyDescent="0.35">
      <c r="A1" s="2" t="s">
        <v>45</v>
      </c>
    </row>
    <row r="3" spans="1:8" ht="15.5" x14ac:dyDescent="0.35">
      <c r="A3" s="3" t="s">
        <v>46</v>
      </c>
    </row>
    <row r="5" spans="1:8" x14ac:dyDescent="0.35">
      <c r="A5" s="10" t="s">
        <v>47</v>
      </c>
    </row>
    <row r="7" spans="1:8" x14ac:dyDescent="0.35">
      <c r="A7" s="6" t="s">
        <v>48</v>
      </c>
    </row>
    <row r="9" spans="1:8" x14ac:dyDescent="0.35">
      <c r="A9" s="5" t="s">
        <v>49</v>
      </c>
    </row>
    <row r="11" spans="1:8" x14ac:dyDescent="0.35">
      <c r="A11" s="11" t="s">
        <v>50</v>
      </c>
      <c r="B11" s="11" t="s">
        <v>51</v>
      </c>
      <c r="C11" s="11" t="s">
        <v>52</v>
      </c>
      <c r="D11" s="11" t="s">
        <v>53</v>
      </c>
      <c r="E11" s="11" t="s">
        <v>54</v>
      </c>
      <c r="F11" s="11" t="s">
        <v>33</v>
      </c>
    </row>
    <row r="12" spans="1:8" x14ac:dyDescent="0.35">
      <c r="A12" s="8" t="s">
        <v>55</v>
      </c>
      <c r="B12" s="8">
        <v>4</v>
      </c>
      <c r="C12" s="8">
        <v>0.5</v>
      </c>
      <c r="D12" s="8">
        <v>1</v>
      </c>
      <c r="E12" s="9"/>
      <c r="F12" s="6" t="str">
        <f>IF(COUNT(E12)=0,"",IF(AND(ROUND(E12,3)=ROUND(5.5,3)),"✓","✗"))</f>
        <v/>
      </c>
    </row>
    <row r="13" spans="1:8" x14ac:dyDescent="0.35">
      <c r="A13" s="8" t="s">
        <v>56</v>
      </c>
      <c r="B13" s="8">
        <v>1</v>
      </c>
      <c r="C13" s="8">
        <v>1</v>
      </c>
      <c r="D13" s="8">
        <v>1</v>
      </c>
      <c r="E13" s="9"/>
      <c r="F13" s="6" t="str">
        <f>IF(COUNT(E13)=0,"",IF(AND(ROUND(E13,3)=ROUND(3,3)),"✓","✗"))</f>
        <v/>
      </c>
    </row>
    <row r="14" spans="1:8" x14ac:dyDescent="0.35">
      <c r="A14" s="8" t="s">
        <v>57</v>
      </c>
      <c r="B14" s="8">
        <v>0.5</v>
      </c>
      <c r="C14" s="8">
        <v>3</v>
      </c>
      <c r="D14" s="8">
        <v>1</v>
      </c>
      <c r="E14" s="9"/>
      <c r="F14" s="6" t="str">
        <f>IF(COUNT(E14)=0,"",IF(AND(ROUND(E14,3)=ROUND(4.5,3)),"✓","✗"))</f>
        <v/>
      </c>
    </row>
    <row r="16" spans="1:8" x14ac:dyDescent="0.35">
      <c r="A16" s="6" t="s">
        <v>58</v>
      </c>
      <c r="D16" s="1" t="s">
        <v>59</v>
      </c>
      <c r="E16" s="1"/>
      <c r="F16" s="6" t="s">
        <v>36</v>
      </c>
      <c r="G16" s="12"/>
      <c r="H16" s="6" t="str">
        <f>IF(G16="","",IF(UPPER(TRIM(G16))=UPPER("Medium"),"✓","✗"))</f>
        <v/>
      </c>
    </row>
    <row r="18" spans="1:8" x14ac:dyDescent="0.35">
      <c r="A18" s="6" t="s">
        <v>60</v>
      </c>
      <c r="D18" s="1" t="s">
        <v>61</v>
      </c>
      <c r="E18" s="1"/>
      <c r="F18" s="6" t="s">
        <v>36</v>
      </c>
      <c r="G18" s="12"/>
      <c r="H18" s="6" t="str">
        <f>IF(G18="","",IF(ROUND(G18,3)=ROUND(1,3),"✓","✗"))</f>
        <v/>
      </c>
    </row>
  </sheetData>
  <mergeCells count="2">
    <mergeCell ref="D16:E16"/>
    <mergeCell ref="D18:E18"/>
  </mergeCells>
  <conditionalFormatting sqref="A1:J18">
    <cfRule type="cellIs" dxfId="3" priority="2" operator="equal">
      <formula>"✓"</formula>
    </cfRule>
    <cfRule type="cellIs" dxfId="2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7"/>
  <sheetViews>
    <sheetView tabSelected="1" topLeftCell="A3" zoomScale="235" zoomScaleNormal="235" workbookViewId="0">
      <selection activeCell="G16" sqref="G16"/>
    </sheetView>
  </sheetViews>
  <sheetFormatPr defaultColWidth="8.6328125" defaultRowHeight="14.5" x14ac:dyDescent="0.35"/>
  <cols>
    <col min="1" max="3" width="8" customWidth="1"/>
    <col min="4" max="4" width="10" customWidth="1"/>
    <col min="5" max="5" width="14" customWidth="1"/>
    <col min="6" max="6" width="12" bestFit="1" customWidth="1"/>
    <col min="7" max="7" width="8" customWidth="1"/>
  </cols>
  <sheetData>
    <row r="1" spans="1:7" x14ac:dyDescent="0.35">
      <c r="A1" s="2" t="s">
        <v>62</v>
      </c>
    </row>
    <row r="3" spans="1:7" ht="15.5" x14ac:dyDescent="0.35">
      <c r="A3" s="3" t="s">
        <v>63</v>
      </c>
    </row>
    <row r="5" spans="1:7" x14ac:dyDescent="0.35">
      <c r="A5" s="10" t="s">
        <v>64</v>
      </c>
    </row>
    <row r="7" spans="1:7" x14ac:dyDescent="0.35">
      <c r="A7" s="6" t="s">
        <v>65</v>
      </c>
    </row>
    <row r="9" spans="1:7" x14ac:dyDescent="0.35">
      <c r="A9" s="5" t="s">
        <v>66</v>
      </c>
    </row>
    <row r="11" spans="1:7" x14ac:dyDescent="0.35">
      <c r="A11" s="11" t="s">
        <v>27</v>
      </c>
      <c r="B11" s="11" t="s">
        <v>67</v>
      </c>
      <c r="C11" s="11" t="s">
        <v>68</v>
      </c>
      <c r="D11" s="11" t="s">
        <v>69</v>
      </c>
      <c r="E11" s="11" t="s">
        <v>70</v>
      </c>
      <c r="F11" s="11" t="s">
        <v>71</v>
      </c>
      <c r="G11" s="11" t="s">
        <v>33</v>
      </c>
    </row>
    <row r="12" spans="1:7" x14ac:dyDescent="0.35">
      <c r="A12" s="8">
        <v>1</v>
      </c>
      <c r="B12" s="8">
        <v>1</v>
      </c>
      <c r="C12" s="8">
        <v>2</v>
      </c>
      <c r="D12" s="8" t="s">
        <v>72</v>
      </c>
      <c r="E12" s="9"/>
      <c r="F12" s="9"/>
      <c r="G12" s="6" t="str">
        <f>IF(COUNT(E12:F12)=0,"",IF(AND(ROUND(E12,3)=ROUND(5,3),ROUND(F12,3)=ROUND(4,3)),"✓","✗"))</f>
        <v/>
      </c>
    </row>
    <row r="13" spans="1:7" x14ac:dyDescent="0.35">
      <c r="A13" s="8">
        <v>2</v>
      </c>
      <c r="B13" s="8">
        <v>2</v>
      </c>
      <c r="C13" s="8">
        <v>3</v>
      </c>
      <c r="D13" s="8" t="s">
        <v>72</v>
      </c>
      <c r="E13" s="9"/>
      <c r="F13" s="9"/>
      <c r="G13" s="6" t="str">
        <f>IF(COUNT(E13:F13)=0,"",IF(AND(ROUND(E13,3)=ROUND(1,3),ROUND(F13,3)=ROUND(1,3)),"✓","✗"))</f>
        <v/>
      </c>
    </row>
    <row r="14" spans="1:7" x14ac:dyDescent="0.35">
      <c r="A14" s="8">
        <v>3</v>
      </c>
      <c r="B14" s="8">
        <v>4</v>
      </c>
      <c r="C14" s="8">
        <v>4</v>
      </c>
      <c r="D14" s="8" t="s">
        <v>73</v>
      </c>
      <c r="E14" s="9"/>
      <c r="F14" s="9"/>
      <c r="G14" s="6" t="str">
        <f>IF(COUNT(E14:F14)=0,"",IF(AND(ROUND(E14,3)=ROUND(2,3),ROUND(F14,3)=ROUND(2,3)),"✓","✗"))</f>
        <v/>
      </c>
    </row>
    <row r="15" spans="1:7" x14ac:dyDescent="0.35">
      <c r="A15" s="8">
        <v>4</v>
      </c>
      <c r="B15" s="8">
        <v>5</v>
      </c>
      <c r="C15" s="8">
        <v>1</v>
      </c>
      <c r="D15" s="8" t="s">
        <v>73</v>
      </c>
      <c r="E15" s="9"/>
      <c r="F15" s="9"/>
      <c r="G15" s="6" t="str">
        <f>IF(COUNT(E15:F15)=0,"",IF(AND(ROUND(E15,3)=ROUND(8,3),ROUND(F15,3)=ROUND(5.5,3)),"✓","✗"))</f>
        <v/>
      </c>
    </row>
    <row r="16" spans="1:7" x14ac:dyDescent="0.35">
      <c r="A16" s="8">
        <v>5</v>
      </c>
      <c r="B16" s="8">
        <v>3</v>
      </c>
      <c r="C16" s="8">
        <v>5</v>
      </c>
      <c r="D16" s="8" t="s">
        <v>72</v>
      </c>
      <c r="E16" s="9"/>
      <c r="F16" s="9"/>
      <c r="G16" s="6" t="str">
        <f>IF(COUNT(E16:F16)=0,"",IF(AND(ROUND(E16,3)=ROUND(4,3),ROUND(F16,3)=ROUND(3,3)),"✓","✗"))</f>
        <v/>
      </c>
    </row>
    <row r="17" spans="1:8" x14ac:dyDescent="0.35">
      <c r="A17" s="8">
        <v>6</v>
      </c>
      <c r="B17" s="8">
        <v>5</v>
      </c>
      <c r="C17" s="8">
        <v>5</v>
      </c>
      <c r="D17" s="8" t="s">
        <v>73</v>
      </c>
      <c r="E17" s="9"/>
      <c r="F17" s="9"/>
      <c r="G17" s="6" t="str">
        <f>IF(COUNT(E17:F17)=0,"",IF(AND(ROUND(E17,3)=ROUND(8,3),ROUND(F17,3)=ROUND(5.5,3)),"✓","✗"))</f>
        <v/>
      </c>
    </row>
    <row r="19" spans="1:8" x14ac:dyDescent="0.35">
      <c r="A19" s="6" t="s">
        <v>74</v>
      </c>
    </row>
    <row r="21" spans="1:8" x14ac:dyDescent="0.35">
      <c r="A21" s="5" t="s">
        <v>75</v>
      </c>
    </row>
    <row r="23" spans="1:8" x14ac:dyDescent="0.35">
      <c r="A23" s="6" t="s">
        <v>76</v>
      </c>
      <c r="D23" s="1" t="s">
        <v>77</v>
      </c>
      <c r="E23" s="1"/>
      <c r="F23" s="6" t="s">
        <v>36</v>
      </c>
      <c r="G23" s="12"/>
      <c r="H23" s="6" t="str">
        <f>IF(G23="","",IF(UPPER(TRIM(G23))=UPPER("Blue"),"✓","✗"))</f>
        <v/>
      </c>
    </row>
    <row r="25" spans="1:8" x14ac:dyDescent="0.35">
      <c r="A25" s="6" t="s">
        <v>78</v>
      </c>
      <c r="D25" s="1" t="s">
        <v>79</v>
      </c>
      <c r="E25" s="1"/>
      <c r="F25" s="6" t="s">
        <v>36</v>
      </c>
      <c r="G25" s="12"/>
      <c r="H25" s="6" t="str">
        <f>IF(G25="","",IF(ROUND(G25,3)=ROUND(0.666667,3),"✓","✗"))</f>
        <v/>
      </c>
    </row>
    <row r="27" spans="1:8" x14ac:dyDescent="0.35">
      <c r="A27" s="6" t="s">
        <v>80</v>
      </c>
      <c r="D27" s="1" t="s">
        <v>81</v>
      </c>
      <c r="E27" s="1"/>
      <c r="F27" s="6" t="s">
        <v>36</v>
      </c>
      <c r="G27" s="12"/>
      <c r="H27" s="6" t="str">
        <f>IF(G27="","",IF(UPPER(TRIM(G27))=UPPER("Blue"),"✓","✗"))</f>
        <v/>
      </c>
    </row>
  </sheetData>
  <mergeCells count="3">
    <mergeCell ref="D23:E23"/>
    <mergeCell ref="D25:E25"/>
    <mergeCell ref="D27:E27"/>
  </mergeCells>
  <conditionalFormatting sqref="A1:J27">
    <cfRule type="cellIs" dxfId="1" priority="2" operator="equal">
      <formula>"✓"</formula>
    </cfRule>
    <cfRule type="cellIs" dxfId="0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8"/>
  <sheetViews>
    <sheetView zoomScaleNormal="100" workbookViewId="0"/>
  </sheetViews>
  <sheetFormatPr defaultColWidth="8.6328125" defaultRowHeight="14.5" x14ac:dyDescent="0.35"/>
  <cols>
    <col min="1" max="1" width="42" customWidth="1"/>
    <col min="2" max="2" width="26" customWidth="1"/>
  </cols>
  <sheetData>
    <row r="1" spans="1:2" x14ac:dyDescent="0.35">
      <c r="A1" s="2" t="s">
        <v>82</v>
      </c>
    </row>
    <row r="3" spans="1:2" ht="15.5" x14ac:dyDescent="0.35">
      <c r="A3" s="3" t="s">
        <v>83</v>
      </c>
    </row>
    <row r="5" spans="1:2" x14ac:dyDescent="0.35">
      <c r="A5" s="5" t="s">
        <v>84</v>
      </c>
    </row>
    <row r="7" spans="1:2" x14ac:dyDescent="0.35">
      <c r="A7" s="6" t="s">
        <v>85</v>
      </c>
      <c r="B7" s="8">
        <v>0.4</v>
      </c>
    </row>
    <row r="8" spans="1:2" x14ac:dyDescent="0.35">
      <c r="A8" s="6" t="s">
        <v>86</v>
      </c>
      <c r="B8" s="8">
        <v>0</v>
      </c>
    </row>
    <row r="9" spans="1:2" x14ac:dyDescent="0.35">
      <c r="A9" s="6" t="s">
        <v>87</v>
      </c>
      <c r="B9" s="8">
        <v>2.0832999999999999</v>
      </c>
    </row>
    <row r="10" spans="1:2" x14ac:dyDescent="0.35">
      <c r="A10" s="6" t="s">
        <v>88</v>
      </c>
      <c r="B10" s="8">
        <v>8</v>
      </c>
    </row>
    <row r="11" spans="1:2" x14ac:dyDescent="0.35">
      <c r="A11" s="6" t="s">
        <v>89</v>
      </c>
      <c r="B11" s="8" t="s">
        <v>90</v>
      </c>
    </row>
    <row r="12" spans="1:2" x14ac:dyDescent="0.35">
      <c r="A12" s="6" t="s">
        <v>91</v>
      </c>
      <c r="B12" s="8" t="s">
        <v>92</v>
      </c>
    </row>
    <row r="13" spans="1:2" x14ac:dyDescent="0.35">
      <c r="A13" s="6" t="s">
        <v>93</v>
      </c>
      <c r="B13" s="8" t="s">
        <v>94</v>
      </c>
    </row>
    <row r="14" spans="1:2" x14ac:dyDescent="0.35">
      <c r="A14" s="6" t="s">
        <v>95</v>
      </c>
      <c r="B14" s="8" t="s">
        <v>96</v>
      </c>
    </row>
    <row r="16" spans="1:2" x14ac:dyDescent="0.35">
      <c r="A16" s="5" t="s">
        <v>97</v>
      </c>
    </row>
    <row r="18" spans="1:2" x14ac:dyDescent="0.35">
      <c r="A18" s="6" t="s">
        <v>98</v>
      </c>
      <c r="B18" s="8" t="s">
        <v>99</v>
      </c>
    </row>
    <row r="19" spans="1:2" x14ac:dyDescent="0.35">
      <c r="A19" s="6" t="s">
        <v>100</v>
      </c>
      <c r="B19" s="8" t="s">
        <v>101</v>
      </c>
    </row>
    <row r="20" spans="1:2" x14ac:dyDescent="0.35">
      <c r="A20" s="6" t="s">
        <v>102</v>
      </c>
      <c r="B20" s="8">
        <v>1</v>
      </c>
    </row>
    <row r="22" spans="1:2" x14ac:dyDescent="0.35">
      <c r="A22" s="5" t="s">
        <v>103</v>
      </c>
    </row>
    <row r="24" spans="1:2" x14ac:dyDescent="0.35">
      <c r="A24" s="6" t="s">
        <v>104</v>
      </c>
      <c r="B24" s="8" t="s">
        <v>105</v>
      </c>
    </row>
    <row r="25" spans="1:2" x14ac:dyDescent="0.35">
      <c r="A25" s="6" t="s">
        <v>106</v>
      </c>
      <c r="B25" s="8" t="s">
        <v>107</v>
      </c>
    </row>
    <row r="26" spans="1:2" x14ac:dyDescent="0.35">
      <c r="A26" s="6" t="s">
        <v>108</v>
      </c>
      <c r="B26" s="8" t="s">
        <v>72</v>
      </c>
    </row>
    <row r="27" spans="1:2" x14ac:dyDescent="0.35">
      <c r="A27" s="6" t="s">
        <v>109</v>
      </c>
      <c r="B27" s="8" t="s">
        <v>110</v>
      </c>
    </row>
    <row r="28" spans="1:2" x14ac:dyDescent="0.35">
      <c r="A28" s="6" t="s">
        <v>111</v>
      </c>
      <c r="B28" s="8" t="s">
        <v>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Step1_Train_Test_MSE</vt:lpstr>
      <vt:lpstr>Step2_Bias_Variance</vt:lpstr>
      <vt:lpstr>Step3_KNN</vt:lpstr>
      <vt:lpstr>Answer_Key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호민 박</cp:lastModifiedBy>
  <cp:revision>0</cp:revision>
  <dcterms:created xsi:type="dcterms:W3CDTF">2026-07-07T19:42:58Z</dcterms:created>
  <dcterms:modified xsi:type="dcterms:W3CDTF">2026-07-10T12:55:55Z</dcterms:modified>
  <dc:language>en-US</dc:language>
</cp:coreProperties>
</file>