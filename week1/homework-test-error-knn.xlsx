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Train_Test_MSE" sheetId="2" state="visible" r:id="rId4"/>
    <sheet name="Step2_Bias_Variance" sheetId="3" state="visible" r:id="rId5"/>
    <sheet name="Step3_KNN" sheetId="4" state="visible" r:id="rId6"/>
    <sheet name="Answer_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<sst xmlns="http://schemas.openxmlformats.org/spreadsheetml/2006/main" count="138" uniqueCount="112">
  <si>
    <t xml:space="preserve">[Description] Test Error, Bias–Variance &amp; KNN</t>
  </si>
  <si>
    <t xml:space="preserve">Test Error, Bias–Variance &amp; KNN — Homework Worksheet</t>
  </si>
  <si>
    <t xml:space="preserve">ML Summer Class · fill the YELLOW cells; each entry is auto-checked (✓/✗).</t>
  </si>
  <si>
    <t xml:space="preserve">Learning Objectives:</t>
  </si>
  <si>
    <t xml:space="preserve">1. Compute training and test MSE and see overfitting with your own hands</t>
  </si>
  <si>
    <t xml:space="preserve">2. Decompose expected test error into bias² + variance + irreducible noise</t>
  </si>
  <si>
    <t xml:space="preserve">3. Run the KNN classifier manually for K=1 and K=3</t>
  </si>
  <si>
    <t xml:space="preserve">Readings &amp; Slides:</t>
  </si>
  <si>
    <t xml:space="preserve">• ISLP §2.2 (Assessing Model Accuracy), §2.2.3 (Classification)</t>
  </si>
  <si>
    <t xml:space="preserve">• Week 1 slides: "Measuring the quality of fit", "The bias-variance trade-off", "K-Nearest Neighbors"</t>
  </si>
  <si>
    <t xml:space="preserve">Key Formulas:</t>
  </si>
  <si>
    <t xml:space="preserve">MSE</t>
  </si>
  <si>
    <t xml:space="preserve">MSE = (1/n) Σ (yᵢ - ŷᵢ)²</t>
  </si>
  <si>
    <t xml:space="preserve">Decomposition</t>
  </si>
  <si>
    <t xml:space="preserve">E[(y₀-f̂(x₀))²] = Var(f̂(x₀)) + [Bias(f̂(x₀))]² + Var(ε)</t>
  </si>
  <si>
    <t xml:space="preserve">KNN</t>
  </si>
  <si>
    <t xml:space="preserve">Pr(Y=j|X=x₀) ≈ (1/K) Σ_{i∈N₀} I(yᵢ=j)</t>
  </si>
  <si>
    <t xml:space="preserve">Color Guide:</t>
  </si>
  <si>
    <t xml:space="preserve">Given Data (Input)</t>
  </si>
  <si>
    <t xml:space="preserve">Formula Hint</t>
  </si>
  <si>
    <t xml:space="preserve">Your Answer (fill this!)</t>
  </si>
  <si>
    <t xml:space="preserve">✓ = correct   ✗ = incorrect (recheck your formula)</t>
  </si>
  <si>
    <t xml:space="preserve">[Description] STEP 1: Compute train &amp; test MSE for a simple and a flexible model</t>
  </si>
  <si>
    <t xml:space="preserve">Two models, two datasets</t>
  </si>
  <si>
    <t xml:space="preserve">ISLP §2.2.1 · Week 1 slide "Measuring the quality of fit"</t>
  </si>
  <si>
    <t xml:space="preserve">Model A is a simple linear fit; Model B is very flexible (it interpolates the training data).</t>
  </si>
  <si>
    <t xml:space="preserve">STEP 1a: TRAINING data — fill the squared errors, then each MSE</t>
  </si>
  <si>
    <t xml:space="preserve">i</t>
  </si>
  <si>
    <t xml:space="preserve">yᵢ</t>
  </si>
  <si>
    <t xml:space="preserve">ŷᵢ (A)</t>
  </si>
  <si>
    <t xml:space="preserve">ŷᵢ (B)</t>
  </si>
  <si>
    <t xml:space="preserve">(yᵢ-ŷA)²</t>
  </si>
  <si>
    <t xml:space="preserve">(yᵢ-ŷB)²</t>
  </si>
  <si>
    <t xml:space="preserve">Check</t>
  </si>
  <si>
    <t xml:space="preserve">Train MSE, Model A =</t>
  </si>
  <si>
    <t xml:space="preserve">SUM of column (yᵢ-ŷA)² / 5</t>
  </si>
  <si>
    <t xml:space="preserve">Your Answer:</t>
  </si>
  <si>
    <t xml:space="preserve">Train MSE, Model B =</t>
  </si>
  <si>
    <t xml:space="preserve">SUM of column (yᵢ-ŷB)² / 5</t>
  </si>
  <si>
    <t xml:space="preserve">STEP 1b: TEST data (new observations!)</t>
  </si>
  <si>
    <t xml:space="preserve">Test MSE, Model A =</t>
  </si>
  <si>
    <t xml:space="preserve">SUM / 3</t>
  </si>
  <si>
    <t xml:space="preserve">Test MSE, Model B =</t>
  </si>
  <si>
    <t xml:space="preserve">Which model overfits? (A/B)</t>
  </si>
  <si>
    <t xml:space="preserve">the one with lower TRAIN but higher TEST error</t>
  </si>
  <si>
    <t xml:space="preserve">[Description] STEP 2: Bias-variance decomposition at three flexibility levels</t>
  </si>
  <si>
    <t xml:space="preserve">Adding up the three sources of error</t>
  </si>
  <si>
    <t xml:space="preserve">ISLP §2.2.2 · Week 1 slide "The bias-variance trade-off, precisely"</t>
  </si>
  <si>
    <t xml:space="preserve">For one test point, simulations give the components below. Var(ε) = 1 everywhere.</t>
  </si>
  <si>
    <t xml:space="preserve">Fill Expected Test Error = Bias² + Variance + Var(ε)</t>
  </si>
  <si>
    <t xml:space="preserve">Flexibility</t>
  </si>
  <si>
    <t xml:space="preserve">Bias²</t>
  </si>
  <si>
    <t xml:space="preserve">Variance</t>
  </si>
  <si>
    <t xml:space="preserve">Var(ε)</t>
  </si>
  <si>
    <t xml:space="preserve">Expected Test Error</t>
  </si>
  <si>
    <t xml:space="preserve">Low (linear)</t>
  </si>
  <si>
    <t xml:space="preserve">Medium (spline)</t>
  </si>
  <si>
    <t xml:space="preserve">High (deep tree)</t>
  </si>
  <si>
    <t xml:space="preserve">Which flexibility wins? (Low/Medium/High)</t>
  </si>
  <si>
    <t xml:space="preserve">smallest total</t>
  </si>
  <si>
    <t xml:space="preserve">Best possible error at this point =</t>
  </si>
  <si>
    <t xml:space="preserve">no model beats Var(ε)</t>
  </si>
  <si>
    <t xml:space="preserve">[Description] STEP 3: Classify a test point with KNN, K=1 and K=3</t>
  </si>
  <si>
    <t xml:space="preserve">KNN by hand</t>
  </si>
  <si>
    <t xml:space="preserve">ISLP §2.2.3 · Week 1 slides "K-Nearest Neighbors", "KNN in action"</t>
  </si>
  <si>
    <t xml:space="preserve">Training points with classes; test point x₀ = (3, 3).</t>
  </si>
  <si>
    <t xml:space="preserve">STEP 3a: squared Euclidean distance to x₀, then rank (1 = closest)</t>
  </si>
  <si>
    <t xml:space="preserve">X₁</t>
  </si>
  <si>
    <t xml:space="preserve">X₂</t>
  </si>
  <si>
    <t xml:space="preserve">Class</t>
  </si>
  <si>
    <t xml:space="preserve">d² to (3,3)</t>
  </si>
  <si>
    <t xml:space="preserve">Rank</t>
  </si>
  <si>
    <t xml:space="preserve">Blue</t>
  </si>
  <si>
    <t xml:space="preserve">Orange</t>
  </si>
  <si>
    <t xml:space="preserve">(tie in distance → give both the average rank, e.g. 5.5 and 5.5)</t>
  </si>
  <si>
    <t xml:space="preserve">STEP 3b: vote</t>
  </si>
  <si>
    <t xml:space="preserve">K=1 prediction (Blue/Orange)</t>
  </si>
  <si>
    <t xml:space="preserve">class of rank-1 point</t>
  </si>
  <si>
    <t xml:space="preserve">K=3: Pr(Blue | x₀) =</t>
  </si>
  <si>
    <t xml:space="preserve">fraction of Blue among 3 nearest</t>
  </si>
  <si>
    <t xml:space="preserve">K=3 prediction (Blue/Orange)</t>
  </si>
  <si>
    <t xml:space="preserve">majority of 3 nearest</t>
  </si>
  <si>
    <t xml:space="preserve">[Description] ANSWER KEY - all solutions. No peeking until you have tried!</t>
  </si>
  <si>
    <t xml:space="preserve">ANSWER KEY</t>
  </si>
  <si>
    <t xml:space="preserve">STEP 1: Train/Test MSE</t>
  </si>
  <si>
    <t xml:space="preserve">Train MSE A</t>
  </si>
  <si>
    <t xml:space="preserve">Train MSE B</t>
  </si>
  <si>
    <t xml:space="preserve">Test MSE A</t>
  </si>
  <si>
    <t xml:space="preserve">Test MSE B</t>
  </si>
  <si>
    <t xml:space="preserve">Squared errors A (train)</t>
  </si>
  <si>
    <t xml:space="preserve">0.25, 0.25, 1, 0.25, 0.25</t>
  </si>
  <si>
    <t xml:space="preserve">Squared errors A (test)</t>
  </si>
  <si>
    <t xml:space="preserve">4, 2.25, 0</t>
  </si>
  <si>
    <t xml:space="preserve">Squared errors B (test)</t>
  </si>
  <si>
    <t xml:space="preserve">16, 4, 4</t>
  </si>
  <si>
    <t xml:space="preserve">Overfitting model</t>
  </si>
  <si>
    <t xml:space="preserve">B</t>
  </si>
  <si>
    <t xml:space="preserve">STEP 2: Bias-Variance</t>
  </si>
  <si>
    <t xml:space="preserve">Totals (Low/Med/High)</t>
  </si>
  <si>
    <t xml:space="preserve">5.5 / 3.0 / 4.5</t>
  </si>
  <si>
    <t xml:space="preserve">Winner</t>
  </si>
  <si>
    <t xml:space="preserve">Medium</t>
  </si>
  <si>
    <t xml:space="preserve">Irreducible floor</t>
  </si>
  <si>
    <t xml:space="preserve">STEP 3: KNN</t>
  </si>
  <si>
    <t xml:space="preserve">d² values (i=1..6)</t>
  </si>
  <si>
    <t xml:space="preserve">5, 1, 2, 8, 4, 8</t>
  </si>
  <si>
    <t xml:space="preserve">Ranks</t>
  </si>
  <si>
    <t xml:space="preserve">4, 1, 2, 5.5, 3, 5.5</t>
  </si>
  <si>
    <t xml:space="preserve">K=1 prediction</t>
  </si>
  <si>
    <t xml:space="preserve">Pr(Blue|x₀), K=3</t>
  </si>
  <si>
    <t xml:space="preserve">2/3 ≈ 0.667</t>
  </si>
  <si>
    <t xml:space="preserve">K=3 prediction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</si>
</sst>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1"/>
      <name val="Calibri"/>
      <family val="0"/>
      <charset val="1"/>
    </font>
    <font>
      <i val="true"/>
      <sz val="10"/>
      <color rgb="FF1E64C8"/>
      <name val="Calibri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F0F8FF"/>
      </patternFill>
    </fill>
    <fill>
      <patternFill patternType="solid">
        <fgColor rgb="FFD8E4BC"/>
        <bgColor rgb="FFDAEEF3"/>
      </patternFill>
    </fill>
    <fill>
      <patternFill patternType="solid">
        <fgColor rgb="FFDAEE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1E64C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07C10"/>
      </font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AEEF3"/>
      <rgbColor rgb="FF660066"/>
      <rgbColor rgb="FFFF8080"/>
      <rgbColor rgb="FF1E64C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D8E4B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15" hidden="false" customHeight="false" outlineLevel="0" collapsed="false">
      <c r="A5" s="3" t="s">
        <v>2</v>
      </c>
    </row>
    <row r="7" customFormat="false" ht="15" hidden="false" customHeight="false" outlineLevel="0" collapsed="false">
      <c r="A7" s="4" t="s">
        <v>3</v>
      </c>
    </row>
    <row r="9" customFormat="false" ht="15" hidden="false" customHeight="false" outlineLevel="0" collapsed="false">
      <c r="A9" s="5" t="s">
        <v>4</v>
      </c>
    </row>
    <row r="10" customFormat="false" ht="15" hidden="false" customHeight="false" outlineLevel="0" collapsed="false">
      <c r="A10" s="5" t="s">
        <v>5</v>
      </c>
    </row>
    <row r="11" customFormat="false" ht="15" hidden="false" customHeight="false" outlineLevel="0" collapsed="false">
      <c r="A11" s="5" t="s">
        <v>6</v>
      </c>
    </row>
    <row r="13" customFormat="false" ht="15" hidden="false" customHeight="false" outlineLevel="0" collapsed="false">
      <c r="A13" s="4" t="s">
        <v>7</v>
      </c>
    </row>
    <row r="15" customFormat="false" ht="15" hidden="false" customHeight="false" outlineLevel="0" collapsed="false">
      <c r="A15" s="5" t="s">
        <v>8</v>
      </c>
    </row>
    <row r="16" customFormat="false" ht="15" hidden="false" customHeight="false" outlineLevel="0" collapsed="false">
      <c r="A16" s="5" t="s">
        <v>9</v>
      </c>
    </row>
    <row r="18" customFormat="false" ht="15" hidden="false" customHeight="false" outlineLevel="0" collapsed="false">
      <c r="A18" s="4" t="s">
        <v>10</v>
      </c>
    </row>
    <row r="20" customFormat="false" ht="15" hidden="false" customHeight="false" outlineLevel="0" collapsed="false">
      <c r="A20" s="5" t="s">
        <v>11</v>
      </c>
      <c r="B20" s="6" t="s">
        <v>12</v>
      </c>
    </row>
    <row r="21" customFormat="false" ht="15" hidden="false" customHeight="false" outlineLevel="0" collapsed="false">
      <c r="A21" s="5" t="s">
        <v>13</v>
      </c>
      <c r="B21" s="6" t="s">
        <v>14</v>
      </c>
    </row>
    <row r="22" customFormat="false" ht="15" hidden="false" customHeight="false" outlineLevel="0" collapsed="false">
      <c r="A22" s="5" t="s">
        <v>15</v>
      </c>
      <c r="B22" s="6" t="s">
        <v>16</v>
      </c>
    </row>
    <row r="24" customFormat="false" ht="15" hidden="false" customHeight="false" outlineLevel="0" collapsed="false">
      <c r="A24" s="4" t="s">
        <v>17</v>
      </c>
    </row>
    <row r="26" customFormat="false" ht="15" hidden="false" customHeight="false" outlineLevel="0" collapsed="false">
      <c r="B26" s="7" t="s">
        <v>18</v>
      </c>
    </row>
    <row r="27" customFormat="false" ht="15" hidden="false" customHeight="false" outlineLevel="0" collapsed="false">
      <c r="B27" s="6" t="s">
        <v>19</v>
      </c>
    </row>
    <row r="28" customFormat="false" ht="15" hidden="false" customHeight="false" outlineLevel="0" collapsed="false">
      <c r="B28" s="8" t="s">
        <v>20</v>
      </c>
    </row>
    <row r="29" customFormat="false" ht="15" hidden="false" customHeight="false" outlineLevel="0" collapsed="false">
      <c r="A29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6" min="5" style="0" width="12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22</v>
      </c>
    </row>
    <row r="3" customFormat="false" ht="15" hidden="false" customHeight="false" outlineLevel="0" collapsed="false">
      <c r="A3" s="2" t="s">
        <v>23</v>
      </c>
    </row>
    <row r="5" customFormat="false" ht="15" hidden="false" customHeight="false" outlineLevel="0" collapsed="false">
      <c r="A5" s="9" t="s">
        <v>24</v>
      </c>
    </row>
    <row r="7" customFormat="false" ht="15" hidden="false" customHeight="false" outlineLevel="0" collapsed="false">
      <c r="A7" s="5" t="s">
        <v>25</v>
      </c>
    </row>
    <row r="9" customFormat="false" ht="15" hidden="false" customHeight="false" outlineLevel="0" collapsed="false">
      <c r="A9" s="4" t="s">
        <v>26</v>
      </c>
    </row>
    <row r="11" customFormat="false" ht="15" hidden="false" customHeight="false" outlineLevel="0" collapsed="false">
      <c r="A11" s="10" t="s">
        <v>27</v>
      </c>
      <c r="B11" s="10" t="s">
        <v>28</v>
      </c>
      <c r="C11" s="10" t="s">
        <v>29</v>
      </c>
      <c r="D11" s="10" t="s">
        <v>30</v>
      </c>
      <c r="E11" s="10" t="s">
        <v>31</v>
      </c>
      <c r="F11" s="10" t="s">
        <v>32</v>
      </c>
      <c r="G11" s="10" t="s">
        <v>33</v>
      </c>
    </row>
    <row r="12" customFormat="false" ht="15" hidden="false" customHeight="false" outlineLevel="0" collapsed="false">
      <c r="A12" s="7" t="n">
        <v>1</v>
      </c>
      <c r="B12" s="7" t="n">
        <v>3</v>
      </c>
      <c r="C12" s="7" t="n">
        <v>3.5</v>
      </c>
      <c r="D12" s="7" t="n">
        <v>3</v>
      </c>
      <c r="E12" s="8"/>
      <c r="F12" s="8"/>
      <c r="G12" s="5" t="str">
        <f aca="false">IF(COUNT(E12:F12)=0,"",IF(AND(ROUND(E12,3)=ROUND(0.25,3),ROUND(F12,3)=ROUND(0,3)),"✓","✗"))</f>
        <v/>
      </c>
    </row>
    <row r="13" customFormat="false" ht="15" hidden="false" customHeight="false" outlineLevel="0" collapsed="false">
      <c r="A13" s="7" t="n">
        <v>2</v>
      </c>
      <c r="B13" s="7" t="n">
        <v>5</v>
      </c>
      <c r="C13" s="7" t="n">
        <v>4.5</v>
      </c>
      <c r="D13" s="7" t="n">
        <v>5</v>
      </c>
      <c r="E13" s="8"/>
      <c r="F13" s="8"/>
      <c r="G13" s="5" t="str">
        <f aca="false">IF(COUNT(E13:F13)=0,"",IF(AND(ROUND(E13,3)=ROUND(0.25,3),ROUND(F13,3)=ROUND(0,3)),"✓","✗"))</f>
        <v/>
      </c>
    </row>
    <row r="14" customFormat="false" ht="15" hidden="false" customHeight="false" outlineLevel="0" collapsed="false">
      <c r="A14" s="7" t="n">
        <v>3</v>
      </c>
      <c r="B14" s="7" t="n">
        <v>4</v>
      </c>
      <c r="C14" s="7" t="n">
        <v>5</v>
      </c>
      <c r="D14" s="7" t="n">
        <v>4</v>
      </c>
      <c r="E14" s="8"/>
      <c r="F14" s="8"/>
      <c r="G14" s="5" t="str">
        <f aca="false">IF(COUNT(E14:F14)=0,"",IF(AND(ROUND(E14,3)=ROUND(1,3),ROUND(F14,3)=ROUND(0,3)),"✓","✗"))</f>
        <v/>
      </c>
    </row>
    <row r="15" customFormat="false" ht="15" hidden="false" customHeight="false" outlineLevel="0" collapsed="false">
      <c r="A15" s="7" t="n">
        <v>4</v>
      </c>
      <c r="B15" s="7" t="n">
        <v>6</v>
      </c>
      <c r="C15" s="7" t="n">
        <v>5.5</v>
      </c>
      <c r="D15" s="7" t="n">
        <v>6</v>
      </c>
      <c r="E15" s="8"/>
      <c r="F15" s="8"/>
      <c r="G15" s="5" t="str">
        <f aca="false">IF(COUNT(E15:F15)=0,"",IF(AND(ROUND(E15,3)=ROUND(0.25,3),ROUND(F15,3)=ROUND(0,3)),"✓","✗"))</f>
        <v/>
      </c>
    </row>
    <row r="16" customFormat="false" ht="15" hidden="false" customHeight="false" outlineLevel="0" collapsed="false">
      <c r="A16" s="7" t="n">
        <v>5</v>
      </c>
      <c r="B16" s="7" t="n">
        <v>7</v>
      </c>
      <c r="C16" s="7" t="n">
        <v>6.5</v>
      </c>
      <c r="D16" s="7" t="n">
        <v>7</v>
      </c>
      <c r="E16" s="8"/>
      <c r="F16" s="8"/>
      <c r="G16" s="5" t="str">
        <f aca="false">IF(COUNT(E16:F16)=0,"",IF(AND(ROUND(E16,3)=ROUND(0.25,3),ROUND(F16,3)=ROUND(0,3)),"✓","✗"))</f>
        <v/>
      </c>
    </row>
    <row r="18" customFormat="false" ht="15" hidden="false" customHeight="false" outlineLevel="0" collapsed="false">
      <c r="A18" s="5" t="s">
        <v>34</v>
      </c>
      <c r="D18" s="11" t="s">
        <v>35</v>
      </c>
      <c r="E18" s="11"/>
      <c r="F18" s="5" t="s">
        <v>36</v>
      </c>
      <c r="G18" s="12"/>
      <c r="H18" s="5" t="str">
        <f aca="false">IF(G18="","",IF(ROUND(G18,3)=ROUND(0.4,3),"✓","✗"))</f>
        <v/>
      </c>
    </row>
    <row r="20" customFormat="false" ht="15" hidden="false" customHeight="false" outlineLevel="0" collapsed="false">
      <c r="A20" s="5" t="s">
        <v>37</v>
      </c>
      <c r="D20" s="11" t="s">
        <v>38</v>
      </c>
      <c r="E20" s="11"/>
      <c r="F20" s="5" t="s">
        <v>36</v>
      </c>
      <c r="G20" s="12"/>
      <c r="H20" s="5" t="str">
        <f aca="false">IF(G20="","",IF(ROUND(G20,3)=ROUND(0,3),"✓","✗"))</f>
        <v/>
      </c>
    </row>
    <row r="22" customFormat="false" ht="15" hidden="false" customHeight="false" outlineLevel="0" collapsed="false">
      <c r="A22" s="4" t="s">
        <v>39</v>
      </c>
    </row>
    <row r="24" customFormat="false" ht="15" hidden="false" customHeight="false" outlineLevel="0" collapsed="false">
      <c r="A24" s="10" t="s">
        <v>27</v>
      </c>
      <c r="B24" s="10" t="s">
        <v>28</v>
      </c>
      <c r="C24" s="10" t="s">
        <v>29</v>
      </c>
      <c r="D24" s="10" t="s">
        <v>30</v>
      </c>
      <c r="E24" s="10" t="s">
        <v>31</v>
      </c>
      <c r="F24" s="10" t="s">
        <v>32</v>
      </c>
      <c r="G24" s="10" t="s">
        <v>33</v>
      </c>
    </row>
    <row r="25" customFormat="false" ht="15" hidden="false" customHeight="false" outlineLevel="0" collapsed="false">
      <c r="A25" s="7" t="n">
        <v>6</v>
      </c>
      <c r="B25" s="7" t="n">
        <v>5</v>
      </c>
      <c r="C25" s="7" t="n">
        <v>7</v>
      </c>
      <c r="D25" s="7" t="n">
        <v>9</v>
      </c>
      <c r="E25" s="8"/>
      <c r="F25" s="8"/>
      <c r="G25" s="5" t="str">
        <f aca="false">IF(COUNT(E25:F25)=0,"",IF(AND(ROUND(E25,3)=ROUND(4,3),ROUND(F25,3)=ROUND(16,3)),"✓","✗"))</f>
        <v/>
      </c>
    </row>
    <row r="26" customFormat="false" ht="15" hidden="false" customHeight="false" outlineLevel="0" collapsed="false">
      <c r="A26" s="7" t="n">
        <v>7</v>
      </c>
      <c r="B26" s="7" t="n">
        <v>6</v>
      </c>
      <c r="C26" s="7" t="n">
        <v>7.5</v>
      </c>
      <c r="D26" s="7" t="n">
        <v>4</v>
      </c>
      <c r="E26" s="8"/>
      <c r="F26" s="8"/>
      <c r="G26" s="5" t="str">
        <f aca="false">IF(COUNT(E26:F26)=0,"",IF(AND(ROUND(E26,3)=ROUND(2.25,3),ROUND(F26,3)=ROUND(4,3)),"✓","✗"))</f>
        <v/>
      </c>
    </row>
    <row r="27" customFormat="false" ht="15" hidden="false" customHeight="false" outlineLevel="0" collapsed="false">
      <c r="A27" s="7" t="n">
        <v>8</v>
      </c>
      <c r="B27" s="7" t="n">
        <v>8</v>
      </c>
      <c r="C27" s="7" t="n">
        <v>8</v>
      </c>
      <c r="D27" s="7" t="n">
        <v>10</v>
      </c>
      <c r="E27" s="8"/>
      <c r="F27" s="8"/>
      <c r="G27" s="5" t="str">
        <f aca="false">IF(COUNT(E27:F27)=0,"",IF(AND(ROUND(E27,3)=ROUND(0,3),ROUND(F27,3)=ROUND(4,3)),"✓","✗"))</f>
        <v/>
      </c>
    </row>
    <row r="29" customFormat="false" ht="15" hidden="false" customHeight="false" outlineLevel="0" collapsed="false">
      <c r="A29" s="5" t="s">
        <v>40</v>
      </c>
      <c r="D29" s="11" t="s">
        <v>41</v>
      </c>
      <c r="E29" s="11"/>
      <c r="F29" s="5" t="s">
        <v>36</v>
      </c>
      <c r="G29" s="12"/>
      <c r="H29" s="5" t="str">
        <f aca="false">IF(G29="","",IF(ROUND(G29,3)=ROUND(2.083333,3),"✓","✗"))</f>
        <v/>
      </c>
    </row>
    <row r="31" customFormat="false" ht="15" hidden="false" customHeight="false" outlineLevel="0" collapsed="false">
      <c r="A31" s="5" t="s">
        <v>42</v>
      </c>
      <c r="D31" s="11" t="s">
        <v>41</v>
      </c>
      <c r="E31" s="11"/>
      <c r="F31" s="5" t="s">
        <v>36</v>
      </c>
      <c r="G31" s="12"/>
      <c r="H31" s="5" t="str">
        <f aca="false">IF(G31="","",IF(ROUND(G31,3)=ROUND(8,3),"✓","✗"))</f>
        <v/>
      </c>
    </row>
    <row r="33" customFormat="false" ht="15" hidden="false" customHeight="false" outlineLevel="0" collapsed="false">
      <c r="A33" s="5" t="s">
        <v>43</v>
      </c>
      <c r="D33" s="11" t="s">
        <v>44</v>
      </c>
      <c r="E33" s="11"/>
      <c r="F33" s="5" t="s">
        <v>36</v>
      </c>
      <c r="G33" s="12"/>
      <c r="H33" s="5" t="str">
        <f aca="false">IF(G33="","",IF(UPPER(TRIM(G33))=UPPER("B"),"✓","✗"))</f>
        <v/>
      </c>
    </row>
  </sheetData>
  <mergeCells count="5">
    <mergeCell ref="D18:E18"/>
    <mergeCell ref="D20:E20"/>
    <mergeCell ref="D29:E29"/>
    <mergeCell ref="D31:E31"/>
    <mergeCell ref="D33:E33"/>
  </mergeCells>
  <conditionalFormatting sqref="A1:J33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45</v>
      </c>
    </row>
    <row r="3" customFormat="false" ht="15" hidden="false" customHeight="false" outlineLevel="0" collapsed="false">
      <c r="A3" s="2" t="s">
        <v>46</v>
      </c>
    </row>
    <row r="5" customFormat="false" ht="15" hidden="false" customHeight="false" outlineLevel="0" collapsed="false">
      <c r="A5" s="9" t="s">
        <v>47</v>
      </c>
    </row>
    <row r="7" customFormat="false" ht="15" hidden="false" customHeight="false" outlineLevel="0" collapsed="false">
      <c r="A7" s="5" t="s">
        <v>48</v>
      </c>
    </row>
    <row r="9" customFormat="false" ht="15" hidden="false" customHeight="false" outlineLevel="0" collapsed="false">
      <c r="A9" s="4" t="s">
        <v>49</v>
      </c>
    </row>
    <row r="11" customFormat="false" ht="15" hidden="false" customHeight="false" outlineLevel="0" collapsed="false">
      <c r="A11" s="10" t="s">
        <v>50</v>
      </c>
      <c r="B11" s="10" t="s">
        <v>51</v>
      </c>
      <c r="C11" s="10" t="s">
        <v>52</v>
      </c>
      <c r="D11" s="10" t="s">
        <v>53</v>
      </c>
      <c r="E11" s="10" t="s">
        <v>54</v>
      </c>
      <c r="F11" s="10" t="s">
        <v>33</v>
      </c>
    </row>
    <row r="12" customFormat="false" ht="15" hidden="false" customHeight="false" outlineLevel="0" collapsed="false">
      <c r="A12" s="7" t="s">
        <v>55</v>
      </c>
      <c r="B12" s="7" t="n">
        <v>4</v>
      </c>
      <c r="C12" s="7" t="n">
        <v>0.5</v>
      </c>
      <c r="D12" s="7" t="n">
        <v>1</v>
      </c>
      <c r="E12" s="8"/>
      <c r="F12" s="5" t="str">
        <f aca="false">IF(COUNT(E12)=0,"",IF(AND(ROUND(E12,3)=ROUND(5.5,3)),"✓","✗"))</f>
        <v/>
      </c>
    </row>
    <row r="13" customFormat="false" ht="15" hidden="false" customHeight="false" outlineLevel="0" collapsed="false">
      <c r="A13" s="7" t="s">
        <v>56</v>
      </c>
      <c r="B13" s="7" t="n">
        <v>1</v>
      </c>
      <c r="C13" s="7" t="n">
        <v>1</v>
      </c>
      <c r="D13" s="7" t="n">
        <v>1</v>
      </c>
      <c r="E13" s="8"/>
      <c r="F13" s="5" t="str">
        <f aca="false">IF(COUNT(E13)=0,"",IF(AND(ROUND(E13,3)=ROUND(3,3)),"✓","✗"))</f>
        <v/>
      </c>
    </row>
    <row r="14" customFormat="false" ht="15" hidden="false" customHeight="false" outlineLevel="0" collapsed="false">
      <c r="A14" s="7" t="s">
        <v>57</v>
      </c>
      <c r="B14" s="7" t="n">
        <v>0.5</v>
      </c>
      <c r="C14" s="7" t="n">
        <v>3</v>
      </c>
      <c r="D14" s="7" t="n">
        <v>1</v>
      </c>
      <c r="E14" s="8"/>
      <c r="F14" s="5" t="str">
        <f aca="false">IF(COUNT(E14)=0,"",IF(AND(ROUND(E14,3)=ROUND(4.5,3)),"✓","✗"))</f>
        <v/>
      </c>
    </row>
    <row r="16" customFormat="false" ht="15" hidden="false" customHeight="false" outlineLevel="0" collapsed="false">
      <c r="A16" s="5" t="s">
        <v>58</v>
      </c>
      <c r="D16" s="11" t="s">
        <v>59</v>
      </c>
      <c r="E16" s="11"/>
      <c r="F16" s="5" t="s">
        <v>36</v>
      </c>
      <c r="G16" s="12"/>
      <c r="H16" s="5" t="str">
        <f aca="false">IF(G16="","",IF(UPPER(TRIM(G16))=UPPER("Medium"),"✓","✗"))</f>
        <v/>
      </c>
    </row>
    <row r="18" customFormat="false" ht="15" hidden="false" customHeight="false" outlineLevel="0" collapsed="false">
      <c r="A18" s="5" t="s">
        <v>60</v>
      </c>
      <c r="D18" s="11" t="s">
        <v>61</v>
      </c>
      <c r="E18" s="11"/>
      <c r="F18" s="5" t="s">
        <v>36</v>
      </c>
      <c r="G18" s="12"/>
      <c r="H18" s="5" t="str">
        <f aca="false">IF(G18="","",IF(ROUND(G18,3)=ROUND(1,3),"✓","✗"))</f>
        <v/>
      </c>
    </row>
  </sheetData>
  <mergeCells count="2">
    <mergeCell ref="D16:E16"/>
    <mergeCell ref="D18:E18"/>
  </mergeCells>
  <conditionalFormatting sqref="A1:J18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8"/>
  </cols>
  <sheetData>
    <row r="1" customFormat="false" ht="15" hidden="false" customHeight="false" outlineLevel="0" collapsed="false">
      <c r="A1" s="1" t="s">
        <v>62</v>
      </c>
    </row>
    <row r="3" customFormat="false" ht="15" hidden="false" customHeight="false" outlineLevel="0" collapsed="false">
      <c r="A3" s="2" t="s">
        <v>63</v>
      </c>
    </row>
    <row r="5" customFormat="false" ht="15" hidden="false" customHeight="false" outlineLevel="0" collapsed="false">
      <c r="A5" s="9" t="s">
        <v>64</v>
      </c>
    </row>
    <row r="7" customFormat="false" ht="15" hidden="false" customHeight="false" outlineLevel="0" collapsed="false">
      <c r="A7" s="5" t="s">
        <v>65</v>
      </c>
    </row>
    <row r="9" customFormat="false" ht="15" hidden="false" customHeight="false" outlineLevel="0" collapsed="false">
      <c r="A9" s="4" t="s">
        <v>66</v>
      </c>
    </row>
    <row r="11" customFormat="false" ht="15" hidden="false" customHeight="false" outlineLevel="0" collapsed="false">
      <c r="A11" s="10" t="s">
        <v>27</v>
      </c>
      <c r="B11" s="10" t="s">
        <v>67</v>
      </c>
      <c r="C11" s="10" t="s">
        <v>68</v>
      </c>
      <c r="D11" s="10" t="s">
        <v>69</v>
      </c>
      <c r="E11" s="10" t="s">
        <v>70</v>
      </c>
      <c r="F11" s="10" t="s">
        <v>71</v>
      </c>
      <c r="G11" s="10" t="s">
        <v>33</v>
      </c>
    </row>
    <row r="12" customFormat="false" ht="15" hidden="false" customHeight="false" outlineLevel="0" collapsed="false">
      <c r="A12" s="7" t="n">
        <v>1</v>
      </c>
      <c r="B12" s="7" t="n">
        <v>1</v>
      </c>
      <c r="C12" s="7" t="n">
        <v>2</v>
      </c>
      <c r="D12" s="7" t="s">
        <v>72</v>
      </c>
      <c r="E12" s="8"/>
      <c r="F12" s="8"/>
      <c r="G12" s="5" t="str">
        <f aca="false">IF(COUNT(E12:F12)=0,"",IF(AND(ROUND(E12,3)=ROUND(5,3),ROUND(F12,3)=ROUND(4,3)),"✓","✗"))</f>
        <v/>
      </c>
    </row>
    <row r="13" customFormat="false" ht="15" hidden="false" customHeight="false" outlineLevel="0" collapsed="false">
      <c r="A13" s="7" t="n">
        <v>2</v>
      </c>
      <c r="B13" s="7" t="n">
        <v>2</v>
      </c>
      <c r="C13" s="7" t="n">
        <v>3</v>
      </c>
      <c r="D13" s="7" t="s">
        <v>72</v>
      </c>
      <c r="E13" s="8"/>
      <c r="F13" s="8"/>
      <c r="G13" s="5" t="str">
        <f aca="false">IF(COUNT(E13:F13)=0,"",IF(AND(ROUND(E13,3)=ROUND(1,3),ROUND(F13,3)=ROUND(1,3)),"✓","✗"))</f>
        <v/>
      </c>
    </row>
    <row r="14" customFormat="false" ht="15" hidden="false" customHeight="false" outlineLevel="0" collapsed="false">
      <c r="A14" s="7" t="n">
        <v>3</v>
      </c>
      <c r="B14" s="7" t="n">
        <v>4</v>
      </c>
      <c r="C14" s="7" t="n">
        <v>4</v>
      </c>
      <c r="D14" s="7" t="s">
        <v>73</v>
      </c>
      <c r="E14" s="8"/>
      <c r="F14" s="8"/>
      <c r="G14" s="5" t="str">
        <f aca="false">IF(COUNT(E14:F14)=0,"",IF(AND(ROUND(E14,3)=ROUND(2,3),ROUND(F14,3)=ROUND(2,3)),"✓","✗"))</f>
        <v/>
      </c>
    </row>
    <row r="15" customFormat="false" ht="15" hidden="false" customHeight="false" outlineLevel="0" collapsed="false">
      <c r="A15" s="7" t="n">
        <v>4</v>
      </c>
      <c r="B15" s="7" t="n">
        <v>5</v>
      </c>
      <c r="C15" s="7" t="n">
        <v>1</v>
      </c>
      <c r="D15" s="7" t="s">
        <v>73</v>
      </c>
      <c r="E15" s="8"/>
      <c r="F15" s="8"/>
      <c r="G15" s="5" t="str">
        <f aca="false">IF(COUNT(E15:F15)=0,"",IF(AND(ROUND(E15,3)=ROUND(8,3),ROUND(F15,3)=ROUND(5.5,3)),"✓","✗"))</f>
        <v/>
      </c>
    </row>
    <row r="16" customFormat="false" ht="15" hidden="false" customHeight="false" outlineLevel="0" collapsed="false">
      <c r="A16" s="7" t="n">
        <v>5</v>
      </c>
      <c r="B16" s="7" t="n">
        <v>3</v>
      </c>
      <c r="C16" s="7" t="n">
        <v>5</v>
      </c>
      <c r="D16" s="7" t="s">
        <v>72</v>
      </c>
      <c r="E16" s="8"/>
      <c r="F16" s="8"/>
      <c r="G16" s="5" t="str">
        <f aca="false">IF(COUNT(E16:F16)=0,"",IF(AND(ROUND(E16,3)=ROUND(4,3),ROUND(F16,3)=ROUND(3,3)),"✓","✗"))</f>
        <v/>
      </c>
    </row>
    <row r="17" customFormat="false" ht="15" hidden="false" customHeight="false" outlineLevel="0" collapsed="false">
      <c r="A17" s="7" t="n">
        <v>6</v>
      </c>
      <c r="B17" s="7" t="n">
        <v>5</v>
      </c>
      <c r="C17" s="7" t="n">
        <v>5</v>
      </c>
      <c r="D17" s="7" t="s">
        <v>73</v>
      </c>
      <c r="E17" s="8"/>
      <c r="F17" s="8"/>
      <c r="G17" s="5" t="str">
        <f aca="false">IF(COUNT(E17:F17)=0,"",IF(AND(ROUND(E17,3)=ROUND(8,3),ROUND(F17,3)=ROUND(5.5,3)),"✓","✗"))</f>
        <v/>
      </c>
    </row>
    <row r="19" customFormat="false" ht="15" hidden="false" customHeight="false" outlineLevel="0" collapsed="false">
      <c r="A19" s="5" t="s">
        <v>74</v>
      </c>
    </row>
    <row r="21" customFormat="false" ht="15" hidden="false" customHeight="false" outlineLevel="0" collapsed="false">
      <c r="A21" s="4" t="s">
        <v>75</v>
      </c>
    </row>
    <row r="23" customFormat="false" ht="15" hidden="false" customHeight="false" outlineLevel="0" collapsed="false">
      <c r="A23" s="5" t="s">
        <v>76</v>
      </c>
      <c r="D23" s="11" t="s">
        <v>77</v>
      </c>
      <c r="E23" s="11"/>
      <c r="F23" s="5" t="s">
        <v>36</v>
      </c>
      <c r="G23" s="12"/>
      <c r="H23" s="5" t="str">
        <f aca="false">IF(G23="","",IF(UPPER(TRIM(G23))=UPPER("Blue"),"✓","✗"))</f>
        <v/>
      </c>
    </row>
    <row r="25" customFormat="false" ht="15" hidden="false" customHeight="false" outlineLevel="0" collapsed="false">
      <c r="A25" s="5" t="s">
        <v>78</v>
      </c>
      <c r="D25" s="11" t="s">
        <v>79</v>
      </c>
      <c r="E25" s="11"/>
      <c r="F25" s="5" t="s">
        <v>36</v>
      </c>
      <c r="G25" s="12"/>
      <c r="H25" s="5" t="str">
        <f aca="false">IF(G25="","",IF(ROUND(G25,3)=ROUND(0.666667,3),"✓","✗"))</f>
        <v/>
      </c>
    </row>
    <row r="27" customFormat="false" ht="15" hidden="false" customHeight="false" outlineLevel="0" collapsed="false">
      <c r="A27" s="5" t="s">
        <v>80</v>
      </c>
      <c r="D27" s="11" t="s">
        <v>81</v>
      </c>
      <c r="E27" s="11"/>
      <c r="F27" s="5" t="s">
        <v>36</v>
      </c>
      <c r="G27" s="12"/>
      <c r="H27" s="5" t="str">
        <f aca="false">IF(G27="","",IF(UPPER(TRIM(G27))=UPPER("Blue"),"✓","✗"))</f>
        <v/>
      </c>
    </row>
  </sheetData>
  <mergeCells count="3">
    <mergeCell ref="D23:E23"/>
    <mergeCell ref="D25:E25"/>
    <mergeCell ref="D27:E27"/>
  </mergeCells>
  <conditionalFormatting sqref="A1:J27">
    <cfRule type="cellIs" priority="2" operator="equal" aboveAverage="0" equalAverage="0" bottom="0" percent="0" rank="0" text="" dxfId="0">
      <formula>"✓"</formula>
    </cfRule>
    <cfRule type="cellIs" priority="3" operator="equal" aboveAverage="0" equalAverage="0" bottom="0" percent="0" rank="0" text="" dxfId="1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</cols>
  <sheetData>
    <row r="1" customFormat="false" ht="15" hidden="false" customHeight="false" outlineLevel="0" collapsed="false">
      <c r="A1" s="1" t="s">
        <v>82</v>
      </c>
    </row>
    <row r="3" customFormat="false" ht="15" hidden="false" customHeight="false" outlineLevel="0" collapsed="false">
      <c r="A3" s="2" t="s">
        <v>83</v>
      </c>
    </row>
    <row r="5" customFormat="false" ht="15" hidden="false" customHeight="false" outlineLevel="0" collapsed="false">
      <c r="A5" s="4" t="s">
        <v>84</v>
      </c>
    </row>
    <row r="7" customFormat="false" ht="15" hidden="false" customHeight="false" outlineLevel="0" collapsed="false">
      <c r="A7" s="5" t="s">
        <v>85</v>
      </c>
      <c r="B7" s="7" t="n">
        <v>0.4</v>
      </c>
    </row>
    <row r="8" customFormat="false" ht="15" hidden="false" customHeight="false" outlineLevel="0" collapsed="false">
      <c r="A8" s="5" t="s">
        <v>86</v>
      </c>
      <c r="B8" s="7" t="n">
        <v>0</v>
      </c>
    </row>
    <row r="9" customFormat="false" ht="15" hidden="false" customHeight="false" outlineLevel="0" collapsed="false">
      <c r="A9" s="5" t="s">
        <v>87</v>
      </c>
      <c r="B9" s="7" t="n">
        <v>2.0833</v>
      </c>
    </row>
    <row r="10" customFormat="false" ht="15" hidden="false" customHeight="false" outlineLevel="0" collapsed="false">
      <c r="A10" s="5" t="s">
        <v>88</v>
      </c>
      <c r="B10" s="7" t="n">
        <v>8</v>
      </c>
    </row>
    <row r="11" customFormat="false" ht="15" hidden="false" customHeight="false" outlineLevel="0" collapsed="false">
      <c r="A11" s="5" t="s">
        <v>89</v>
      </c>
      <c r="B11" s="7" t="s">
        <v>90</v>
      </c>
    </row>
    <row r="12" customFormat="false" ht="15" hidden="false" customHeight="false" outlineLevel="0" collapsed="false">
      <c r="A12" s="5" t="s">
        <v>91</v>
      </c>
      <c r="B12" s="7" t="s">
        <v>92</v>
      </c>
    </row>
    <row r="13" customFormat="false" ht="15" hidden="false" customHeight="false" outlineLevel="0" collapsed="false">
      <c r="A13" s="5" t="s">
        <v>93</v>
      </c>
      <c r="B13" s="7" t="s">
        <v>94</v>
      </c>
    </row>
    <row r="14" customFormat="false" ht="15" hidden="false" customHeight="false" outlineLevel="0" collapsed="false">
      <c r="A14" s="5" t="s">
        <v>95</v>
      </c>
      <c r="B14" s="7" t="s">
        <v>96</v>
      </c>
    </row>
    <row r="16" customFormat="false" ht="15" hidden="false" customHeight="false" outlineLevel="0" collapsed="false">
      <c r="A16" s="4" t="s">
        <v>97</v>
      </c>
    </row>
    <row r="18" customFormat="false" ht="15" hidden="false" customHeight="false" outlineLevel="0" collapsed="false">
      <c r="A18" s="5" t="s">
        <v>98</v>
      </c>
      <c r="B18" s="7" t="s">
        <v>99</v>
      </c>
    </row>
    <row r="19" customFormat="false" ht="15" hidden="false" customHeight="false" outlineLevel="0" collapsed="false">
      <c r="A19" s="5" t="s">
        <v>100</v>
      </c>
      <c r="B19" s="7" t="s">
        <v>101</v>
      </c>
    </row>
    <row r="20" customFormat="false" ht="15" hidden="false" customHeight="false" outlineLevel="0" collapsed="false">
      <c r="A20" s="5" t="s">
        <v>102</v>
      </c>
      <c r="B20" s="7" t="n">
        <v>1</v>
      </c>
    </row>
    <row r="22" customFormat="false" ht="15" hidden="false" customHeight="false" outlineLevel="0" collapsed="false">
      <c r="A22" s="4" t="s">
        <v>103</v>
      </c>
    </row>
    <row r="24" customFormat="false" ht="15" hidden="false" customHeight="false" outlineLevel="0" collapsed="false">
      <c r="A24" s="5" t="s">
        <v>104</v>
      </c>
      <c r="B24" s="7" t="s">
        <v>105</v>
      </c>
    </row>
    <row r="25" customFormat="false" ht="15" hidden="false" customHeight="false" outlineLevel="0" collapsed="false">
      <c r="A25" s="5" t="s">
        <v>106</v>
      </c>
      <c r="B25" s="7" t="s">
        <v>107</v>
      </c>
    </row>
    <row r="26" customFormat="false" ht="15" hidden="false" customHeight="false" outlineLevel="0" collapsed="false">
      <c r="A26" s="5" t="s">
        <v>108</v>
      </c>
      <c r="B26" s="7" t="s">
        <v>72</v>
      </c>
    </row>
    <row r="27" customFormat="false" ht="15" hidden="false" customHeight="false" outlineLevel="0" collapsed="false">
      <c r="A27" s="5" t="s">
        <v>109</v>
      </c>
      <c r="B27" s="7" t="s">
        <v>110</v>
      </c>
    </row>
    <row r="28" customFormat="false" ht="15" hidden="false" customHeight="false" outlineLevel="0" collapsed="false">
      <c r="A28" s="5" t="s">
        <v>111</v>
      </c>
      <c r="B28" s="7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2026-07-07T19:42:58Z</dcterms:created>
  <dc:creator>openpyxl</dc:creator>
  <dc:description/>
  <dc:language>en-US</dc:language>
  <cp:lastModifiedBy/>
  <dcterms:modified xsi:type="dcterms:W3CDTF">2026-07-07T19:42:58Z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