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Step_Function" sheetId="2" state="visible" r:id="rId4"/>
    <sheet name="Step2_Best_Split" sheetId="3" state="visible" r:id="rId5"/>
    <sheet name="Step3_Gini" sheetId="4" state="visible" r:id="rId6"/>
    <sheet name="Step4_Ensembles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<sst xmlns="http://schemas.openxmlformats.org/spreadsheetml/2006/main" count="157" uniqueCount="134">
  <si>
    <t xml:space="preserve">[Description] Step Functions &amp; Trees</t>
  </si>
  <si>
    <t xml:space="preserve">Step Functions &amp; Trees — Homework Worksheet</t>
  </si>
  <si>
    <t xml:space="preserve">ML Summer Class · fill the YELLOW cells; each entry is auto-checked (✓/✗).</t>
  </si>
  <si>
    <t xml:space="preserve">Learning Objectives:</t>
  </si>
  <si>
    <t xml:space="preserve">1. Fit a step function by computing bin means</t>
  </si>
  <si>
    <t xml:space="preserve">2. Grow a regression tree greedily: evaluate every split by RSS</t>
  </si>
  <si>
    <t xml:space="preserve">3. Choose a classification split with the Gini index</t>
  </si>
  <si>
    <t xml:space="preserve">4. Average an ensemble (bagging) and take two boosting steps</t>
  </si>
  <si>
    <t xml:space="preserve">Readings &amp; Slides:</t>
  </si>
  <si>
    <t xml:space="preserve">• ISLP §7.2 (Step Functions), §8.1 (Decision Trees), §8.2 (Bagging &amp; Boosting)</t>
  </si>
  <si>
    <t xml:space="preserve">• Week 4 slides: "Step functions", "How the tree is grown", "Bagging", "Boosting: learn slowly"</t>
  </si>
  <si>
    <t xml:space="preserve">Key Formulas:</t>
  </si>
  <si>
    <t xml:space="preserve">Step function</t>
  </si>
  <si>
    <t xml:space="preserve">ŷ in a bin = mean of yᵢ in that bin</t>
  </si>
  <si>
    <t xml:space="preserve">Split RSS</t>
  </si>
  <si>
    <t xml:space="preserve">RSS = Σ_left (yᵢ-ȳ_left)² + Σ_right (yᵢ-ȳ_right)²</t>
  </si>
  <si>
    <t xml:space="preserve">Gini</t>
  </si>
  <si>
    <t xml:space="preserve">G = 1 - Σₖ p̂ₖ²   (two classes: 1 - p² - (1-p)²)</t>
  </si>
  <si>
    <t xml:space="preserve">Boosting update</t>
  </si>
  <si>
    <t xml:space="preserve">f(x) ← f(x) + λ·f̂ᵇ(x),   rᵢ ← rᵢ - λ·f̂ᵇ(xᵢ)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</si>
  <si>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</si>
  <si>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</si>
  <si>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</si>
  <si>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</si>
  <si>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</si>
  <si>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fit a step function with three bins</t>
  </si>
  <si>
    <t xml:space="preserve">Chop, don't bend</t>
  </si>
  <si>
    <t xml:space="preserve">ISLP §7.2 · Week 4 slide "Step functions: chop, don't bend"</t>
  </si>
  <si>
    <t xml:space="preserve">GIVEN DATA</t>
  </si>
  <si>
    <t xml:space="preserve">i</t>
  </si>
  <si>
    <t xml:space="preserve">xᵢ</t>
  </si>
  <si>
    <t xml:space="preserve">yᵢ</t>
  </si>
  <si>
    <t xml:space="preserve">Bins: x &lt; 3,   3 ≤ x &lt; 5,   x ≥ 5.</t>
  </si>
  <si>
    <t xml:space="preserve">Fill the prediction (bin mean) for each bin</t>
  </si>
  <si>
    <t xml:space="preserve">Bin</t>
  </si>
  <si>
    <t xml:space="preserve">ŷ (bin mean)</t>
  </si>
  <si>
    <t xml:space="preserve">Check</t>
  </si>
  <si>
    <t xml:space="preserve">x &lt; 3</t>
  </si>
  <si>
    <t xml:space="preserve">3 ≤ x &lt; 5</t>
  </si>
  <si>
    <t xml:space="preserve">x ≥ 5</t>
  </si>
  <si>
    <t xml:space="preserve">Prediction at x = 4.5 =</t>
  </si>
  <si>
    <t xml:space="preserve">which bin is it in?</t>
  </si>
  <si>
    <t xml:space="preserve">Your Answer:</t>
  </si>
  <si>
    <t xml:space="preserve">[Description] STEP 2: find the best first split of a regression tree</t>
  </si>
  <si>
    <t xml:space="preserve">Greedy splitting, by hand</t>
  </si>
  <si>
    <t xml:space="preserve">ISLP §8.1.1 · Week 4 slide "How the tree is grown"</t>
  </si>
  <si>
    <t xml:space="preserve">For each candidate split x &lt; s: fill left/right means and total RSS</t>
  </si>
  <si>
    <t xml:space="preserve">s</t>
  </si>
  <si>
    <t xml:space="preserve">ȳ_left</t>
  </si>
  <si>
    <t xml:space="preserve">ȳ_right</t>
  </si>
  <si>
    <t xml:space="preserve">RSS_left</t>
  </si>
  <si>
    <t xml:space="preserve">RSS_right</t>
  </si>
  <si>
    <t xml:space="preserve">Total RSS</t>
  </si>
  <si>
    <t xml:space="preserve">Best split s =</t>
  </si>
  <si>
    <t xml:space="preserve">smallest total RSS</t>
  </si>
  <si>
    <t xml:space="preserve">Prediction in left region =</t>
  </si>
  <si>
    <t xml:space="preserve">Prediction in right region =</t>
  </si>
  <si>
    <t xml:space="preserve">[Description] STEP 3: choose a classification split with Gini</t>
  </si>
  <si>
    <t xml:space="preserve">Purity contest</t>
  </si>
  <si>
    <t xml:space="preserve">ISLP §8.1.2 · Week 4 slides on classification trees</t>
  </si>
  <si>
    <t xml:space="preserve">Parent node: 8 observations — 5 Yes, 3 No.</t>
  </si>
  <si>
    <t xml:space="preserve">Gini(parent) =</t>
  </si>
  <si>
    <t xml:space="preserve">1 - (5/8)² - (3/8)²</t>
  </si>
  <si>
    <t xml:space="preserve">Two candidate splits (children sizes and class counts given)</t>
  </si>
  <si>
    <t xml:space="preserve">Split</t>
  </si>
  <si>
    <t xml:space="preserve">Left (Y,N)</t>
  </si>
  <si>
    <t xml:space="preserve">Right (Y,N)</t>
  </si>
  <si>
    <t xml:space="preserve">A</t>
  </si>
  <si>
    <t xml:space="preserve">4Y, 0N</t>
  </si>
  <si>
    <t xml:space="preserve">1Y, 3N</t>
  </si>
  <si>
    <t xml:space="preserve">B</t>
  </si>
  <si>
    <t xml:space="preserve">3Y, 2N</t>
  </si>
  <si>
    <t xml:space="preserve">2Y, 1N</t>
  </si>
  <si>
    <t xml:space="preserve">Split A: Gini(left) =</t>
  </si>
  <si>
    <t xml:space="preserve">pure node!</t>
  </si>
  <si>
    <t xml:space="preserve">Split A: Gini(right) =</t>
  </si>
  <si>
    <t xml:space="preserve">1-(1/4)²-(3/4)²</t>
  </si>
  <si>
    <t xml:space="preserve">Split A: weighted Gini =</t>
  </si>
  <si>
    <t xml:space="preserve">(4/8)·G_L + (4/8)·G_R</t>
  </si>
  <si>
    <t xml:space="preserve">Split B: Gini(left) =</t>
  </si>
  <si>
    <t xml:space="preserve">1-(3/5)²-(2/5)²</t>
  </si>
  <si>
    <t xml:space="preserve">Split B: Gini(right) =</t>
  </si>
  <si>
    <t xml:space="preserve">1-(2/3)²-(1/3)²</t>
  </si>
  <si>
    <t xml:space="preserve">Split B: weighted Gini =</t>
  </si>
  <si>
    <t xml:space="preserve">(5/8)·G_L + (3/8)·G_R</t>
  </si>
  <si>
    <t xml:space="preserve">Which split wins? (A/B)</t>
  </si>
  <si>
    <t xml:space="preserve">lower weighted Gini</t>
  </si>
  <si>
    <t xml:space="preserve">[Description] STEP 4: bagging average and two boosting rounds</t>
  </si>
  <si>
    <t xml:space="preserve">Many trees beat one</t>
  </si>
  <si>
    <t xml:space="preserve">ISLP §8.2.1-8.2.3 · Week 4 slides "Bagging", "Boosting: learn slowly"</t>
  </si>
  <si>
    <t xml:space="preserve">STEP 4a: bagging — average three trees' predictions</t>
  </si>
  <si>
    <t xml:space="preserve">Test point</t>
  </si>
  <si>
    <t xml:space="preserve">Tree 1</t>
  </si>
  <si>
    <t xml:space="preserve">Tree 2</t>
  </si>
  <si>
    <t xml:space="preserve">Tree 3</t>
  </si>
  <si>
    <t xml:space="preserve">Bagged ŷ</t>
  </si>
  <si>
    <t xml:space="preserve">x⁽¹⁾</t>
  </si>
  <si>
    <t xml:space="preserve">x⁽²⁾</t>
  </si>
  <si>
    <t xml:space="preserve">STEP 4b: boosting one observation (y = 10), λ = 0.1, stumps predict the current residual exactly</t>
  </si>
  <si>
    <t xml:space="preserve">Start: f = 0, residual r₁ =</t>
  </si>
  <si>
    <t xml:space="preserve">r = y - f</t>
  </si>
  <si>
    <t xml:space="preserve">After round 1: f =</t>
  </si>
  <si>
    <t xml:space="preserve">f ← 0 + 0.1·10</t>
  </si>
  <si>
    <t xml:space="preserve">After round 1: r₂ =</t>
  </si>
  <si>
    <t xml:space="preserve">r ← 10 - 0.1·10</t>
  </si>
  <si>
    <t xml:space="preserve">After round 2: f =</t>
  </si>
  <si>
    <t xml:space="preserve">f ← 1 + 0.1·9</t>
  </si>
  <si>
    <t xml:space="preserve">Rounds to reach f ≥ 9? (roughly)</t>
  </si>
  <si>
    <t xml:space="preserve">f_B = 10·(1-0.9^B); solve 0.9^B ≤ 0.1 → ≈22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</si>
  <si>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</si>
  <si>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</si>
  <si>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</si>
  <si>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Bin means</t>
  </si>
  <si>
    <t xml:space="preserve">6, 14, 23</t>
  </si>
  <si>
    <t xml:space="preserve">ŷ(4.5)</t>
  </si>
  <si>
    <t xml:space="preserve">STEP 2</t>
  </si>
  <si>
    <t xml:space="preserve">Total RSS by s=1.5..5.5</t>
  </si>
  <si>
    <t xml:space="preserve">38.8, 5.5, 22.67, 37.5, 53.2</t>
  </si>
  <si>
    <t xml:space="preserve">Best split</t>
  </si>
  <si>
    <t xml:space="preserve">s = 2.5</t>
  </si>
  <si>
    <t xml:space="preserve">Region means</t>
  </si>
  <si>
    <t xml:space="preserve">2.5 and 9.5</t>
  </si>
  <si>
    <t xml:space="preserve">STEP 3</t>
  </si>
  <si>
    <t xml:space="preserve">Gini parent</t>
  </si>
  <si>
    <t xml:space="preserve">Split A weighted</t>
  </si>
  <si>
    <t xml:space="preserve">Split B weighted</t>
  </si>
  <si>
    <t xml:space="preserve">Winner</t>
  </si>
  <si>
    <t xml:space="preserve">STEP 4</t>
  </si>
  <si>
    <t xml:space="preserve">Bagged predictions</t>
  </si>
  <si>
    <t xml:space="preserve">4.667 and 8.5</t>
  </si>
  <si>
    <t xml:space="preserve">Boosting f after r1, r2</t>
  </si>
  <si>
    <t xml:space="preserve">1.0 then 1.9</t>
  </si>
  <si>
    <t xml:space="preserve">Rounds to f≥9</t>
  </si>
  <si>
    <t xml:space="preserve">≈22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</si>
</sst>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6" customFormat="false" ht="15" hidden="false" customHeight="false" outlineLevel="0" collapsed="false">
      <c r="A26" s="4" t="s">
        <v>20</v>
      </c>
    </row>
    <row r="28" customFormat="false" ht="15" hidden="false" customHeight="false" outlineLevel="0" collapsed="false">
      <c r="B28" s="7" t="s">
        <v>21</v>
      </c>
    </row>
    <row r="29" customFormat="false" ht="15" hidden="false" customHeight="false" outlineLevel="0" collapsed="false">
      <c r="B29" s="6" t="s">
        <v>22</v>
      </c>
    </row>
    <row r="30" customFormat="false" ht="15" hidden="false" customHeight="false" outlineLevel="0" collapsed="false">
      <c r="B30" s="8" t="s">
        <v>23</v>
      </c>
    </row>
    <row r="31" customFormat="false" ht="15" hidden="false" customHeight="false" outlineLevel="0" collapsed="false">
      <c r="A3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8"/>
  </cols>
  <sheetData>
    <row r="1" customFormat="false" ht="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26</v>
      </c>
    </row>
    <row r="5" customFormat="false" ht="15" hidden="false" customHeight="false" outlineLevel="0" collapsed="false">
      <c r="A5" s="9" t="s">
        <v>27</v>
      </c>
    </row>
    <row r="7" customFormat="false" ht="15" hidden="false" customHeight="false" outlineLevel="0" collapsed="false">
      <c r="A7" s="4" t="s">
        <v>28</v>
      </c>
    </row>
    <row r="9" customFormat="false" ht="15" hidden="false" customHeight="false" outlineLevel="0" collapsed="false">
      <c r="A9" s="10" t="s">
        <v>29</v>
      </c>
      <c r="B9" s="10" t="s">
        <v>30</v>
      </c>
      <c r="C9" s="10" t="s">
        <v>31</v>
      </c>
    </row>
    <row r="10" customFormat="false" ht="15" hidden="false" customHeight="false" outlineLevel="0" collapsed="false">
      <c r="A10" s="7" t="n">
        <v>1</v>
      </c>
      <c r="B10" s="7" t="n">
        <v>1</v>
      </c>
      <c r="C10" s="7" t="n">
        <v>5</v>
      </c>
    </row>
    <row r="11" customFormat="false" ht="15" hidden="false" customHeight="false" outlineLevel="0" collapsed="false">
      <c r="A11" s="7" t="n">
        <v>2</v>
      </c>
      <c r="B11" s="7" t="n">
        <v>2</v>
      </c>
      <c r="C11" s="7" t="n">
        <v>7</v>
      </c>
    </row>
    <row r="12" customFormat="false" ht="15" hidden="false" customHeight="false" outlineLevel="0" collapsed="false">
      <c r="A12" s="7" t="n">
        <v>3</v>
      </c>
      <c r="B12" s="7" t="n">
        <v>3</v>
      </c>
      <c r="C12" s="7" t="n">
        <v>13</v>
      </c>
    </row>
    <row r="13" customFormat="false" ht="15" hidden="false" customHeight="false" outlineLevel="0" collapsed="false">
      <c r="A13" s="7" t="n">
        <v>4</v>
      </c>
      <c r="B13" s="7" t="n">
        <v>4</v>
      </c>
      <c r="C13" s="7" t="n">
        <v>15</v>
      </c>
    </row>
    <row r="14" customFormat="false" ht="15" hidden="false" customHeight="false" outlineLevel="0" collapsed="false">
      <c r="A14" s="7" t="n">
        <v>5</v>
      </c>
      <c r="B14" s="7" t="n">
        <v>5</v>
      </c>
      <c r="C14" s="7" t="n">
        <v>22</v>
      </c>
    </row>
    <row r="15" customFormat="false" ht="15" hidden="false" customHeight="false" outlineLevel="0" collapsed="false">
      <c r="A15" s="7" t="n">
        <v>6</v>
      </c>
      <c r="B15" s="7" t="n">
        <v>6</v>
      </c>
      <c r="C15" s="7" t="n">
        <v>24</v>
      </c>
    </row>
    <row r="17" customFormat="false" ht="15" hidden="false" customHeight="false" outlineLevel="0" collapsed="false">
      <c r="A17" s="5" t="s">
        <v>32</v>
      </c>
    </row>
    <row r="19" customFormat="false" ht="15" hidden="false" customHeight="false" outlineLevel="0" collapsed="false">
      <c r="A19" s="4" t="s">
        <v>33</v>
      </c>
    </row>
    <row r="21" customFormat="false" ht="15" hidden="false" customHeight="false" outlineLevel="0" collapsed="false">
      <c r="A21" s="10" t="s">
        <v>34</v>
      </c>
      <c r="B21" s="10" t="s">
        <v>35</v>
      </c>
      <c r="C21" s="10" t="s">
        <v>36</v>
      </c>
    </row>
    <row r="22" customFormat="false" ht="15" hidden="false" customHeight="false" outlineLevel="0" collapsed="false">
      <c r="A22" s="7" t="s">
        <v>37</v>
      </c>
      <c r="B22" s="8"/>
      <c r="C22" s="5" t="str">
        <f aca="false">IF(COUNT(B22)=0,"",IF(AND(ROUND(B22,3)=ROUND(6,3)),"✓","✗"))</f>
        <v/>
      </c>
    </row>
    <row r="23" customFormat="false" ht="15" hidden="false" customHeight="false" outlineLevel="0" collapsed="false">
      <c r="A23" s="7" t="s">
        <v>38</v>
      </c>
      <c r="B23" s="8"/>
      <c r="C23" s="5" t="str">
        <f aca="false">IF(COUNT(B23)=0,"",IF(AND(ROUND(B23,3)=ROUND(14,3)),"✓","✗"))</f>
        <v/>
      </c>
    </row>
    <row r="24" customFormat="false" ht="15" hidden="false" customHeight="false" outlineLevel="0" collapsed="false">
      <c r="A24" s="7" t="s">
        <v>39</v>
      </c>
      <c r="B24" s="8"/>
      <c r="C24" s="5" t="str">
        <f aca="false">IF(COUNT(B24)=0,"",IF(AND(ROUND(B24,3)=ROUND(23,3)),"✓","✗"))</f>
        <v/>
      </c>
    </row>
    <row r="26" customFormat="false" ht="15" hidden="false" customHeight="false" outlineLevel="0" collapsed="false">
      <c r="A26" s="5" t="s">
        <v>40</v>
      </c>
      <c r="D26" s="11" t="s">
        <v>41</v>
      </c>
      <c r="E26" s="11"/>
      <c r="F26" s="5" t="s">
        <v>42</v>
      </c>
      <c r="G26" s="12"/>
      <c r="H26" s="5" t="str">
        <f aca="false">IF(G26="","",IF(ROUND(G26,3)=ROUND(14,3),"✓","✗"))</f>
        <v/>
      </c>
    </row>
  </sheetData>
  <mergeCells count="1">
    <mergeCell ref="D26:E26"/>
  </mergeCells>
  <conditionalFormatting sqref="A1:J26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43</v>
      </c>
    </row>
    <row r="3" customFormat="false" ht="15" hidden="false" customHeight="false" outlineLevel="0" collapsed="false">
      <c r="A3" s="2" t="s">
        <v>44</v>
      </c>
    </row>
    <row r="5" customFormat="false" ht="15" hidden="false" customHeight="false" outlineLevel="0" collapsed="false">
      <c r="A5" s="9" t="s">
        <v>45</v>
      </c>
    </row>
    <row r="7" customFormat="false" ht="15" hidden="false" customHeight="false" outlineLevel="0" collapsed="false">
      <c r="A7" s="4" t="s">
        <v>28</v>
      </c>
    </row>
    <row r="9" customFormat="false" ht="15" hidden="false" customHeight="false" outlineLevel="0" collapsed="false">
      <c r="A9" s="10" t="s">
        <v>29</v>
      </c>
      <c r="B9" s="10" t="s">
        <v>30</v>
      </c>
      <c r="C9" s="10" t="s">
        <v>31</v>
      </c>
    </row>
    <row r="10" customFormat="false" ht="15" hidden="false" customHeight="false" outlineLevel="0" collapsed="false">
      <c r="A10" s="7" t="n">
        <v>1</v>
      </c>
      <c r="B10" s="7" t="n">
        <v>1</v>
      </c>
      <c r="C10" s="7" t="n">
        <v>2</v>
      </c>
    </row>
    <row r="11" customFormat="false" ht="15" hidden="false" customHeight="false" outlineLevel="0" collapsed="false">
      <c r="A11" s="7" t="n">
        <v>2</v>
      </c>
      <c r="B11" s="7" t="n">
        <v>2</v>
      </c>
      <c r="C11" s="7" t="n">
        <v>3</v>
      </c>
    </row>
    <row r="12" customFormat="false" ht="15" hidden="false" customHeight="false" outlineLevel="0" collapsed="false">
      <c r="A12" s="7" t="n">
        <v>3</v>
      </c>
      <c r="B12" s="7" t="n">
        <v>3</v>
      </c>
      <c r="C12" s="7" t="n">
        <v>8</v>
      </c>
    </row>
    <row r="13" customFormat="false" ht="15" hidden="false" customHeight="false" outlineLevel="0" collapsed="false">
      <c r="A13" s="7" t="n">
        <v>4</v>
      </c>
      <c r="B13" s="7" t="n">
        <v>4</v>
      </c>
      <c r="C13" s="7" t="n">
        <v>9</v>
      </c>
    </row>
    <row r="14" customFormat="false" ht="15" hidden="false" customHeight="false" outlineLevel="0" collapsed="false">
      <c r="A14" s="7" t="n">
        <v>5</v>
      </c>
      <c r="B14" s="7" t="n">
        <v>5</v>
      </c>
      <c r="C14" s="7" t="n">
        <v>10</v>
      </c>
    </row>
    <row r="15" customFormat="false" ht="15" hidden="false" customHeight="false" outlineLevel="0" collapsed="false">
      <c r="A15" s="7" t="n">
        <v>6</v>
      </c>
      <c r="B15" s="7" t="n">
        <v>6</v>
      </c>
      <c r="C15" s="7" t="n">
        <v>11</v>
      </c>
    </row>
    <row r="17" customFormat="false" ht="15" hidden="false" customHeight="false" outlineLevel="0" collapsed="false">
      <c r="A17" s="4" t="s">
        <v>46</v>
      </c>
    </row>
    <row r="19" customFormat="false" ht="15" hidden="false" customHeight="false" outlineLevel="0" collapsed="false">
      <c r="A19" s="10" t="s">
        <v>47</v>
      </c>
      <c r="B19" s="10" t="s">
        <v>48</v>
      </c>
      <c r="C19" s="10" t="s">
        <v>49</v>
      </c>
      <c r="D19" s="10" t="s">
        <v>50</v>
      </c>
      <c r="E19" s="10" t="s">
        <v>51</v>
      </c>
      <c r="F19" s="10" t="s">
        <v>52</v>
      </c>
      <c r="G19" s="10" t="s">
        <v>36</v>
      </c>
    </row>
    <row r="20" customFormat="false" ht="15" hidden="false" customHeight="false" outlineLevel="0" collapsed="false">
      <c r="A20" s="7" t="n">
        <v>1.5</v>
      </c>
      <c r="B20" s="8"/>
      <c r="C20" s="8"/>
      <c r="D20" s="8"/>
      <c r="E20" s="8"/>
      <c r="F20" s="8"/>
      <c r="G20" s="5" t="str">
        <f aca="false">IF(COUNT(B20:F20)=0,"",IF(AND(ROUND(B20,3)=ROUND(2,3),ROUND(C20,3)=ROUND(8.2,3),ROUND(D20,3)=ROUND(0,3),ROUND(E20,3)=ROUND(38.8,3),ROUND(F20,3)=ROUND(38.8,3)),"✓","✗"))</f>
        <v/>
      </c>
    </row>
    <row r="21" customFormat="false" ht="15" hidden="false" customHeight="false" outlineLevel="0" collapsed="false">
      <c r="A21" s="7" t="n">
        <v>2.5</v>
      </c>
      <c r="B21" s="8"/>
      <c r="C21" s="8"/>
      <c r="D21" s="8"/>
      <c r="E21" s="8"/>
      <c r="F21" s="8"/>
      <c r="G21" s="5" t="str">
        <f aca="false">IF(COUNT(B21:F21)=0,"",IF(AND(ROUND(B21,3)=ROUND(2.5,3),ROUND(C21,3)=ROUND(9.5,3),ROUND(D21,3)=ROUND(0.5,3),ROUND(E21,3)=ROUND(5,3),ROUND(F21,3)=ROUND(5.5,3)),"✓","✗"))</f>
        <v/>
      </c>
    </row>
    <row r="22" customFormat="false" ht="15" hidden="false" customHeight="false" outlineLevel="0" collapsed="false">
      <c r="A22" s="7" t="n">
        <v>3.5</v>
      </c>
      <c r="B22" s="8"/>
      <c r="C22" s="8"/>
      <c r="D22" s="8"/>
      <c r="E22" s="8"/>
      <c r="F22" s="8"/>
      <c r="G22" s="5" t="str">
        <f aca="false">IF(COUNT(B22:F22)=0,"",IF(AND(ROUND(B22,3)=ROUND(4.333333,3),ROUND(C22,3)=ROUND(10,3),ROUND(D22,3)=ROUND(20.666667,3),ROUND(E22,3)=ROUND(2,3),ROUND(F22,3)=ROUND(22.666667,3)),"✓","✗"))</f>
        <v/>
      </c>
    </row>
    <row r="23" customFormat="false" ht="15" hidden="false" customHeight="false" outlineLevel="0" collapsed="false">
      <c r="A23" s="7" t="n">
        <v>4.5</v>
      </c>
      <c r="B23" s="8"/>
      <c r="C23" s="8"/>
      <c r="D23" s="8"/>
      <c r="E23" s="8"/>
      <c r="F23" s="8"/>
      <c r="G23" s="5" t="str">
        <f aca="false">IF(COUNT(B23:F23)=0,"",IF(AND(ROUND(B23,3)=ROUND(5.5,3),ROUND(C23,3)=ROUND(10.5,3),ROUND(D23,3)=ROUND(37,3),ROUND(E23,3)=ROUND(0.5,3),ROUND(F23,3)=ROUND(37.5,3)),"✓","✗"))</f>
        <v/>
      </c>
    </row>
    <row r="24" customFormat="false" ht="15" hidden="false" customHeight="false" outlineLevel="0" collapsed="false">
      <c r="A24" s="7" t="n">
        <v>5.5</v>
      </c>
      <c r="B24" s="8"/>
      <c r="C24" s="8"/>
      <c r="D24" s="8"/>
      <c r="E24" s="8"/>
      <c r="F24" s="8"/>
      <c r="G24" s="5" t="str">
        <f aca="false">IF(COUNT(B24:F24)=0,"",IF(AND(ROUND(B24,3)=ROUND(6.4,3),ROUND(C24,3)=ROUND(11,3),ROUND(D24,3)=ROUND(53.2,3),ROUND(E24,3)=ROUND(0,3),ROUND(F24,3)=ROUND(53.2,3)),"✓","✗"))</f>
        <v/>
      </c>
    </row>
    <row r="26" customFormat="false" ht="15" hidden="false" customHeight="false" outlineLevel="0" collapsed="false">
      <c r="A26" s="5" t="s">
        <v>53</v>
      </c>
      <c r="D26" s="11" t="s">
        <v>54</v>
      </c>
      <c r="E26" s="11"/>
      <c r="F26" s="5" t="s">
        <v>42</v>
      </c>
      <c r="G26" s="12"/>
      <c r="H26" s="5" t="str">
        <f aca="false">IF(G26="","",IF(ROUND(G26,3)=ROUND(2.5,3),"✓","✗"))</f>
        <v/>
      </c>
    </row>
    <row r="28" customFormat="false" ht="15" hidden="false" customHeight="false" outlineLevel="0" collapsed="false">
      <c r="A28" s="5" t="s">
        <v>55</v>
      </c>
      <c r="D28" s="11"/>
      <c r="E28" s="11"/>
      <c r="F28" s="5" t="s">
        <v>42</v>
      </c>
      <c r="G28" s="12"/>
      <c r="H28" s="5" t="str">
        <f aca="false">IF(G28="","",IF(ROUND(G28,3)=ROUND(2.5,3),"✓","✗"))</f>
        <v/>
      </c>
    </row>
    <row r="30" customFormat="false" ht="15" hidden="false" customHeight="false" outlineLevel="0" collapsed="false">
      <c r="A30" s="5" t="s">
        <v>56</v>
      </c>
      <c r="D30" s="11"/>
      <c r="E30" s="11"/>
      <c r="F30" s="5" t="s">
        <v>42</v>
      </c>
      <c r="G30" s="12"/>
      <c r="H30" s="5" t="str">
        <f aca="false">IF(G30="","",IF(ROUND(G30,3)=ROUND(9.5,3),"✓","✗"))</f>
        <v/>
      </c>
    </row>
  </sheetData>
  <mergeCells count="3">
    <mergeCell ref="D26:E26"/>
    <mergeCell ref="D28:E28"/>
    <mergeCell ref="D30:E30"/>
  </mergeCells>
  <conditionalFormatting sqref="A1:J3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57</v>
      </c>
    </row>
    <row r="3" customFormat="false" ht="15" hidden="false" customHeight="false" outlineLevel="0" collapsed="false">
      <c r="A3" s="2" t="s">
        <v>58</v>
      </c>
    </row>
    <row r="5" customFormat="false" ht="15" hidden="false" customHeight="false" outlineLevel="0" collapsed="false">
      <c r="A5" s="9" t="s">
        <v>59</v>
      </c>
    </row>
    <row r="7" customFormat="false" ht="15" hidden="false" customHeight="false" outlineLevel="0" collapsed="false">
      <c r="A7" s="5" t="s">
        <v>60</v>
      </c>
    </row>
    <row r="9" customFormat="false" ht="15" hidden="false" customHeight="false" outlineLevel="0" collapsed="false">
      <c r="A9" s="5" t="s">
        <v>61</v>
      </c>
      <c r="D9" s="11" t="s">
        <v>62</v>
      </c>
      <c r="E9" s="11"/>
      <c r="F9" s="5" t="s">
        <v>42</v>
      </c>
      <c r="G9" s="12"/>
      <c r="H9" s="5" t="str">
        <f aca="false">IF(G9="","",IF(ROUND(G9,3)=ROUND(0.46875,3),"✓","✗"))</f>
        <v/>
      </c>
    </row>
    <row r="11" customFormat="false" ht="15" hidden="false" customHeight="false" outlineLevel="0" collapsed="false">
      <c r="A11" s="4" t="s">
        <v>63</v>
      </c>
    </row>
    <row r="13" customFormat="false" ht="15" hidden="false" customHeight="false" outlineLevel="0" collapsed="false">
      <c r="A13" s="10" t="s">
        <v>64</v>
      </c>
      <c r="B13" s="10" t="s">
        <v>65</v>
      </c>
      <c r="C13" s="10" t="s">
        <v>66</v>
      </c>
    </row>
    <row r="14" customFormat="false" ht="15" hidden="false" customHeight="false" outlineLevel="0" collapsed="false">
      <c r="A14" s="7" t="s">
        <v>67</v>
      </c>
      <c r="B14" s="7" t="s">
        <v>68</v>
      </c>
      <c r="C14" s="7" t="s">
        <v>69</v>
      </c>
    </row>
    <row r="15" customFormat="false" ht="15" hidden="false" customHeight="false" outlineLevel="0" collapsed="false">
      <c r="A15" s="7" t="s">
        <v>70</v>
      </c>
      <c r="B15" s="7" t="s">
        <v>71</v>
      </c>
      <c r="C15" s="7" t="s">
        <v>72</v>
      </c>
    </row>
    <row r="17" customFormat="false" ht="15" hidden="false" customHeight="false" outlineLevel="0" collapsed="false">
      <c r="A17" s="5" t="s">
        <v>73</v>
      </c>
      <c r="D17" s="11" t="s">
        <v>74</v>
      </c>
      <c r="E17" s="11"/>
      <c r="F17" s="5" t="s">
        <v>42</v>
      </c>
      <c r="G17" s="12"/>
      <c r="H17" s="5" t="str">
        <f aca="false">IF(G17="","",IF(ROUND(G17,3)=ROUND(0,3),"✓","✗"))</f>
        <v/>
      </c>
    </row>
    <row r="19" customFormat="false" ht="15" hidden="false" customHeight="false" outlineLevel="0" collapsed="false">
      <c r="A19" s="5" t="s">
        <v>75</v>
      </c>
      <c r="D19" s="11" t="s">
        <v>76</v>
      </c>
      <c r="E19" s="11"/>
      <c r="F19" s="5" t="s">
        <v>42</v>
      </c>
      <c r="G19" s="12"/>
      <c r="H19" s="5" t="str">
        <f aca="false">IF(G19="","",IF(ROUND(G19,3)=ROUND(0.375,3),"✓","✗"))</f>
        <v/>
      </c>
    </row>
    <row r="21" customFormat="false" ht="15" hidden="false" customHeight="false" outlineLevel="0" collapsed="false">
      <c r="A21" s="5" t="s">
        <v>77</v>
      </c>
      <c r="D21" s="11" t="s">
        <v>78</v>
      </c>
      <c r="E21" s="11"/>
      <c r="F21" s="5" t="s">
        <v>42</v>
      </c>
      <c r="G21" s="12"/>
      <c r="H21" s="5" t="str">
        <f aca="false">IF(G21="","",IF(ROUND(G21,3)=ROUND(0.1875,3),"✓","✗"))</f>
        <v/>
      </c>
    </row>
    <row r="23" customFormat="false" ht="15" hidden="false" customHeight="false" outlineLevel="0" collapsed="false">
      <c r="A23" s="5" t="s">
        <v>79</v>
      </c>
      <c r="D23" s="11" t="s">
        <v>80</v>
      </c>
      <c r="E23" s="11"/>
      <c r="F23" s="5" t="s">
        <v>42</v>
      </c>
      <c r="G23" s="12"/>
      <c r="H23" s="5" t="str">
        <f aca="false">IF(G23="","",IF(ROUND(G23,3)=ROUND(0.48,3),"✓","✗"))</f>
        <v/>
      </c>
    </row>
    <row r="25" customFormat="false" ht="15" hidden="false" customHeight="false" outlineLevel="0" collapsed="false">
      <c r="A25" s="5" t="s">
        <v>81</v>
      </c>
      <c r="D25" s="11" t="s">
        <v>82</v>
      </c>
      <c r="E25" s="11"/>
      <c r="F25" s="5" t="s">
        <v>42</v>
      </c>
      <c r="G25" s="12"/>
      <c r="H25" s="5" t="str">
        <f aca="false">IF(G25="","",IF(ROUND(G25,3)=ROUND(0.444444,3),"✓","✗"))</f>
        <v/>
      </c>
    </row>
    <row r="27" customFormat="false" ht="15" hidden="false" customHeight="false" outlineLevel="0" collapsed="false">
      <c r="A27" s="5" t="s">
        <v>83</v>
      </c>
      <c r="D27" s="11" t="s">
        <v>84</v>
      </c>
      <c r="E27" s="11"/>
      <c r="F27" s="5" t="s">
        <v>42</v>
      </c>
      <c r="G27" s="12"/>
      <c r="H27" s="5" t="str">
        <f aca="false">IF(G27="","",IF(ROUND(G27,3)=ROUND(0.466667,3),"✓","✗"))</f>
        <v/>
      </c>
    </row>
    <row r="29" customFormat="false" ht="15" hidden="false" customHeight="false" outlineLevel="0" collapsed="false">
      <c r="A29" s="5" t="s">
        <v>85</v>
      </c>
      <c r="D29" s="11" t="s">
        <v>86</v>
      </c>
      <c r="E29" s="11"/>
      <c r="F29" s="5" t="s">
        <v>42</v>
      </c>
      <c r="G29" s="12"/>
      <c r="H29" s="5" t="str">
        <f aca="false">IF(G29="","",IF(UPPER(TRIM(G29))=UPPER("A"),"✓","✗"))</f>
        <v/>
      </c>
    </row>
  </sheetData>
  <mergeCells count="8">
    <mergeCell ref="D9:E9"/>
    <mergeCell ref="D17:E17"/>
    <mergeCell ref="D19:E19"/>
    <mergeCell ref="D21:E21"/>
    <mergeCell ref="D23:E23"/>
    <mergeCell ref="D25:E25"/>
    <mergeCell ref="D27:E27"/>
    <mergeCell ref="D29:E29"/>
  </mergeCells>
  <conditionalFormatting sqref="A1:J2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9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87</v>
      </c>
    </row>
    <row r="3" customFormat="false" ht="15" hidden="false" customHeight="false" outlineLevel="0" collapsed="false">
      <c r="A3" s="2" t="s">
        <v>88</v>
      </c>
    </row>
    <row r="5" customFormat="false" ht="15" hidden="false" customHeight="false" outlineLevel="0" collapsed="false">
      <c r="A5" s="9" t="s">
        <v>89</v>
      </c>
    </row>
    <row r="7" customFormat="false" ht="15" hidden="false" customHeight="false" outlineLevel="0" collapsed="false">
      <c r="A7" s="4" t="s">
        <v>90</v>
      </c>
    </row>
    <row r="9" customFormat="false" ht="15" hidden="false" customHeight="false" outlineLevel="0" collapsed="false">
      <c r="A9" s="10" t="s">
        <v>91</v>
      </c>
      <c r="B9" s="10" t="s">
        <v>92</v>
      </c>
      <c r="C9" s="10" t="s">
        <v>93</v>
      </c>
      <c r="D9" s="10" t="s">
        <v>94</v>
      </c>
      <c r="E9" s="10" t="s">
        <v>95</v>
      </c>
      <c r="F9" s="10" t="s">
        <v>36</v>
      </c>
    </row>
    <row r="10" customFormat="false" ht="15" hidden="false" customHeight="false" outlineLevel="0" collapsed="false">
      <c r="A10" s="7" t="s">
        <v>96</v>
      </c>
      <c r="B10" s="7" t="n">
        <v>4</v>
      </c>
      <c r="C10" s="7" t="n">
        <v>5.5</v>
      </c>
      <c r="D10" s="7" t="n">
        <v>4.5</v>
      </c>
      <c r="E10" s="8"/>
      <c r="F10" s="5" t="str">
        <f aca="false">IF(COUNT(E10)=0,"",IF(AND(ROUND(E10,3)=ROUND(4.666667,3)),"✓","✗"))</f>
        <v/>
      </c>
    </row>
    <row r="11" customFormat="false" ht="15" hidden="false" customHeight="false" outlineLevel="0" collapsed="false">
      <c r="A11" s="7" t="s">
        <v>97</v>
      </c>
      <c r="B11" s="7" t="n">
        <v>9</v>
      </c>
      <c r="C11" s="7" t="n">
        <v>8</v>
      </c>
      <c r="D11" s="7" t="n">
        <v>8.5</v>
      </c>
      <c r="E11" s="8"/>
      <c r="F11" s="5" t="str">
        <f aca="false">IF(COUNT(E11)=0,"",IF(AND(ROUND(E11,3)=ROUND(8.5,3)),"✓","✗"))</f>
        <v/>
      </c>
    </row>
    <row r="13" customFormat="false" ht="15" hidden="false" customHeight="false" outlineLevel="0" collapsed="false">
      <c r="A13" s="4" t="s">
        <v>98</v>
      </c>
    </row>
    <row r="15" customFormat="false" ht="15" hidden="false" customHeight="false" outlineLevel="0" collapsed="false">
      <c r="A15" s="5" t="s">
        <v>99</v>
      </c>
      <c r="D15" s="11" t="s">
        <v>100</v>
      </c>
      <c r="E15" s="11"/>
      <c r="F15" s="5" t="s">
        <v>42</v>
      </c>
      <c r="G15" s="12"/>
      <c r="H15" s="5" t="str">
        <f aca="false">IF(G15="","",IF(ROUND(G15,3)=ROUND(10,3),"✓","✗"))</f>
        <v/>
      </c>
    </row>
    <row r="17" customFormat="false" ht="15" hidden="false" customHeight="false" outlineLevel="0" collapsed="false">
      <c r="A17" s="5" t="s">
        <v>101</v>
      </c>
      <c r="D17" s="11" t="s">
        <v>102</v>
      </c>
      <c r="E17" s="11"/>
      <c r="F17" s="5" t="s">
        <v>42</v>
      </c>
      <c r="G17" s="12"/>
      <c r="H17" s="5" t="str">
        <f aca="false">IF(G17="","",IF(ROUND(G17,3)=ROUND(1,3),"✓","✗"))</f>
        <v/>
      </c>
    </row>
    <row r="19" customFormat="false" ht="15" hidden="false" customHeight="false" outlineLevel="0" collapsed="false">
      <c r="A19" s="5" t="s">
        <v>103</v>
      </c>
      <c r="D19" s="11" t="s">
        <v>104</v>
      </c>
      <c r="E19" s="11"/>
      <c r="F19" s="5" t="s">
        <v>42</v>
      </c>
      <c r="G19" s="12"/>
      <c r="H19" s="5" t="str">
        <f aca="false">IF(G19="","",IF(ROUND(G19,3)=ROUND(9,3),"✓","✗"))</f>
        <v/>
      </c>
    </row>
    <row r="21" customFormat="false" ht="15" hidden="false" customHeight="false" outlineLevel="0" collapsed="false">
      <c r="A21" s="5" t="s">
        <v>105</v>
      </c>
      <c r="D21" s="11" t="s">
        <v>106</v>
      </c>
      <c r="E21" s="11"/>
      <c r="F21" s="5" t="s">
        <v>42</v>
      </c>
      <c r="G21" s="12"/>
      <c r="H21" s="5" t="str">
        <f aca="false">IF(G21="","",IF(ROUND(G21,3)=ROUND(1.9,3),"✓","✗"))</f>
        <v/>
      </c>
    </row>
    <row r="23" customFormat="false" ht="15" hidden="false" customHeight="false" outlineLevel="0" collapsed="false">
      <c r="A23" s="5" t="s">
        <v>107</v>
      </c>
      <c r="D23" s="11" t="s">
        <v>108</v>
      </c>
      <c r="E23" s="11"/>
      <c r="F23" s="5" t="s">
        <v>42</v>
      </c>
      <c r="G23" s="12"/>
      <c r="H23" s="5" t="str">
        <f aca="false">IF(G23="","",IF(ROUND(G23,3)=ROUND(22,3),"✓","✗"))</f>
        <v/>
      </c>
    </row>
  </sheetData>
  <mergeCells count="5">
    <mergeCell ref="D15:E15"/>
    <mergeCell ref="D17:E17"/>
    <mergeCell ref="D19:E19"/>
    <mergeCell ref="D21:E21"/>
    <mergeCell ref="D23:E23"/>
  </mergeCells>
  <conditionalFormatting sqref="A1:J23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2" t="s">
        <v>110</v>
      </c>
    </row>
    <row r="5" customFormat="false" ht="15" hidden="false" customHeight="false" outlineLevel="0" collapsed="false">
      <c r="A5" s="4" t="s">
        <v>111</v>
      </c>
    </row>
    <row r="7" customFormat="false" ht="15" hidden="false" customHeight="false" outlineLevel="0" collapsed="false">
      <c r="A7" s="5" t="s">
        <v>112</v>
      </c>
      <c r="B7" s="7" t="s">
        <v>113</v>
      </c>
    </row>
    <row r="8" customFormat="false" ht="15" hidden="false" customHeight="false" outlineLevel="0" collapsed="false">
      <c r="A8" s="5" t="s">
        <v>114</v>
      </c>
      <c r="B8" s="7" t="n">
        <v>14</v>
      </c>
    </row>
    <row r="10" customFormat="false" ht="15" hidden="false" customHeight="false" outlineLevel="0" collapsed="false">
      <c r="A10" s="4" t="s">
        <v>115</v>
      </c>
    </row>
    <row r="12" customFormat="false" ht="15" hidden="false" customHeight="false" outlineLevel="0" collapsed="false">
      <c r="A12" s="5" t="s">
        <v>116</v>
      </c>
      <c r="B12" s="7" t="s">
        <v>117</v>
      </c>
    </row>
    <row r="13" customFormat="false" ht="15" hidden="false" customHeight="false" outlineLevel="0" collapsed="false">
      <c r="A13" s="5" t="s">
        <v>118</v>
      </c>
      <c r="B13" s="7" t="s">
        <v>119</v>
      </c>
    </row>
    <row r="14" customFormat="false" ht="15" hidden="false" customHeight="false" outlineLevel="0" collapsed="false">
      <c r="A14" s="5" t="s">
        <v>120</v>
      </c>
      <c r="B14" s="7" t="s">
        <v>121</v>
      </c>
    </row>
    <row r="16" customFormat="false" ht="15" hidden="false" customHeight="false" outlineLevel="0" collapsed="false">
      <c r="A16" s="4" t="s">
        <v>122</v>
      </c>
    </row>
    <row r="18" customFormat="false" ht="15" hidden="false" customHeight="false" outlineLevel="0" collapsed="false">
      <c r="A18" s="5" t="s">
        <v>123</v>
      </c>
      <c r="B18" s="7" t="n">
        <v>0.4688</v>
      </c>
    </row>
    <row r="19" customFormat="false" ht="15" hidden="false" customHeight="false" outlineLevel="0" collapsed="false">
      <c r="A19" s="5" t="s">
        <v>124</v>
      </c>
      <c r="B19" s="7" t="n">
        <v>0.1875</v>
      </c>
    </row>
    <row r="20" customFormat="false" ht="15" hidden="false" customHeight="false" outlineLevel="0" collapsed="false">
      <c r="A20" s="5" t="s">
        <v>125</v>
      </c>
      <c r="B20" s="7" t="n">
        <v>0.4667</v>
      </c>
    </row>
    <row r="21" customFormat="false" ht="15" hidden="false" customHeight="false" outlineLevel="0" collapsed="false">
      <c r="A21" s="5" t="s">
        <v>126</v>
      </c>
      <c r="B21" s="7" t="s">
        <v>67</v>
      </c>
    </row>
    <row r="23" customFormat="false" ht="15" hidden="false" customHeight="false" outlineLevel="0" collapsed="false">
      <c r="A23" s="4" t="s">
        <v>127</v>
      </c>
    </row>
    <row r="25" customFormat="false" ht="15" hidden="false" customHeight="false" outlineLevel="0" collapsed="false">
      <c r="A25" s="5" t="s">
        <v>128</v>
      </c>
      <c r="B25" s="7" t="s">
        <v>129</v>
      </c>
    </row>
    <row r="26" customFormat="false" ht="15" hidden="false" customHeight="false" outlineLevel="0" collapsed="false">
      <c r="A26" s="5" t="s">
        <v>130</v>
      </c>
      <c r="B26" s="7" t="s">
        <v>131</v>
      </c>
    </row>
    <row r="27" customFormat="false" ht="15" hidden="false" customHeight="false" outlineLevel="0" collapsed="false">
      <c r="A27" s="5" t="s">
        <v>132</v>
      </c>
      <c r="B27" s="7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2026-07-07T19:42:59Z</dcterms:created>
  <dc:creator>openpyxl</dc:creator>
  <dc:description/>
  <dc:language>en-US</dc:language>
  <cp:lastModifiedBy/>
  <dcterms:modified xsi:type="dcterms:W3CDTF">2026-07-07T19:42:59Z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