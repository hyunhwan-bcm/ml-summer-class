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Hyperplane" sheetId="2" state="visible" r:id="rId4"/>
    <sheet name="Step2_Hinge_Loss" sheetId="3" state="visible" r:id="rId5"/>
    <sheet name="Step3_Kernel" sheetId="4" state="visible" r:id="rId6"/>
    <sheet name="Step4_Forward_Pass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<sst xmlns="http://schemas.openxmlformats.org/spreadsheetml/2006/main" count="152" uniqueCount="131">
  <si>
    <t xml:space="preserve">[Description] SVMs &amp; a Neural Network Forward Pass</t>
  </si>
  <si>
    <t xml:space="preserve">SVMs &amp; a Neural Network Forward Pass — Homework Worksheet</t>
  </si>
  <si>
    <t xml:space="preserve">ML Summer Class · fill the YELLOW cells; each entry is auto-checked (✓/✗).</t>
  </si>
  <si>
    <t xml:space="preserve">Learning Objectives:</t>
  </si>
  <si>
    <t xml:space="preserve">1. Classify points with a hyperplane and measure their distance to it</t>
  </si>
  <si>
    <t xml:space="preserve">2. Compute hinge loss and identify support vectors</t>
  </si>
  <si>
    <t xml:space="preserve">3. Evaluate a radial kernel as a similarity measure</t>
  </si>
  <si>
    <t xml:space="preserve">4. Run a two-hidden-unit neural network forward pass by hand and count parameters</t>
  </si>
  <si>
    <t xml:space="preserve">Readings &amp; Slides:</t>
  </si>
  <si>
    <t xml:space="preserve">• ISLP §9.1-9.3 (SVMs), §10.1 (Single Layer Networks)</t>
  </si>
  <si>
    <t xml:space="preserve">• Week 5 slides: "Pick the one with the widest buffer", "The kernel trick", "Stop engineering features — learn them"</t>
  </si>
  <si>
    <t xml:space="preserve">Key Formulas:</t>
  </si>
  <si>
    <t xml:space="preserve">Hyperplane</t>
  </si>
  <si>
    <t xml:space="preserve">f(x) = β₀ + β₁x₁ + β₂x₂;  classify by sign of f(x)</t>
  </si>
  <si>
    <t xml:space="preserve">Distance</t>
  </si>
  <si>
    <t xml:space="preserve">distance = |f(x)| / ‖β‖,   ‖β‖ = √(β₁²+β₂²)</t>
  </si>
  <si>
    <t xml:space="preserve">Hinge loss</t>
  </si>
  <si>
    <t xml:space="preserve">L = max(0, 1 - y·f(x)),  y ∈ {-1,+1}</t>
  </si>
  <si>
    <t xml:space="preserve">Radial kernel</t>
  </si>
  <si>
    <t xml:space="preserve">K(x,x′) = exp(-γ‖x-x′‖²)</t>
  </si>
  <si>
    <t xml:space="preserve">Hidden unit</t>
  </si>
  <si>
    <t xml:space="preserve">Aₖ = ReLU(wₖ₀ + wₖ₁x₁ + wₖ₂x₂);  f(X) = β₀ + ΣβₖAₖ</t>
  </si>
  <si>
    <t xml:space="preserve">Parameter count</t>
  </si>
  <si>
    <t xml:space="preserve">single hidden layer: K(p+1) + (K+1)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</si>
  <si>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</si>
  <si>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</si>
  <si>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</si>
  <si>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</si>
  <si>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</si>
  <si>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which side of the hyperplane?</t>
  </si>
  <si>
    <t xml:space="preserve">f(x) = -4 + x₁ + x₂</t>
  </si>
  <si>
    <t xml:space="preserve">ISLP §9.1 · Week 5 slide "Infinitely many separating lines"</t>
  </si>
  <si>
    <t xml:space="preserve">‖β‖ = √(1²+1²) = √2 ≈ 1.4142</t>
  </si>
  <si>
    <t xml:space="preserve">Fill f(x), the predicted class (+1/-1), and the distance to the plane</t>
  </si>
  <si>
    <t xml:space="preserve">point</t>
  </si>
  <si>
    <t xml:space="preserve">x₁</t>
  </si>
  <si>
    <t xml:space="preserve">x₂</t>
  </si>
  <si>
    <t xml:space="preserve">f(x)</t>
  </si>
  <si>
    <t xml:space="preserve">class (+1/-1)</t>
  </si>
  <si>
    <t xml:space="preserve">distance = |f|/‖β‖</t>
  </si>
  <si>
    <t xml:space="preserve">Check</t>
  </si>
  <si>
    <t xml:space="preserve">a</t>
  </si>
  <si>
    <t xml:space="preserve">b</t>
  </si>
  <si>
    <t xml:space="preserve">c</t>
  </si>
  <si>
    <t xml:space="preserve">d</t>
  </si>
  <si>
    <t xml:space="preserve">Which points sit closest to the boundary?</t>
  </si>
  <si>
    <t xml:space="preserve">they would be the support vectors — answer like "c and d"</t>
  </si>
  <si>
    <t xml:space="preserve">Your Answer:</t>
  </si>
  <si>
    <t xml:space="preserve">[Description] STEP 2: hinge loss for five labelled points</t>
  </si>
  <si>
    <t xml:space="preserve">Only violations cost</t>
  </si>
  <si>
    <t xml:space="preserve">ISLP §9.5 · Week 5 slide "SVM and logistic regression: close cousins"</t>
  </si>
  <si>
    <t xml:space="preserve">GIVEN: margin scores f(x) and true labels y</t>
  </si>
  <si>
    <t xml:space="preserve">y</t>
  </si>
  <si>
    <t xml:space="preserve">y·f(x)</t>
  </si>
  <si>
    <t xml:space="preserve">hinge = max(0, 1-y·f)</t>
  </si>
  <si>
    <t xml:space="preserve">e</t>
  </si>
  <si>
    <t xml:space="preserve">How many points have nonzero loss?</t>
  </si>
  <si>
    <t xml:space="preserve">inside the margin or misclassified</t>
  </si>
  <si>
    <t xml:space="preserve">Which point is actually misclassified?</t>
  </si>
  <si>
    <t xml:space="preserve">y·f(x) &lt; 0</t>
  </si>
  <si>
    <t xml:space="preserve">[Description] STEP 3: radial kernel values</t>
  </si>
  <si>
    <t xml:space="preserve">Similarity that fades with distance</t>
  </si>
  <si>
    <t xml:space="preserve">ISLP §9.3.2 · Week 5 slide "The kernel trick"</t>
  </si>
  <si>
    <t xml:space="preserve">K(x,x′) = exp(-γ‖x-x′‖²) with γ = 0.5.</t>
  </si>
  <si>
    <t xml:space="preserve">Fill the kernel value for each pair</t>
  </si>
  <si>
    <t xml:space="preserve">pair</t>
  </si>
  <si>
    <t xml:space="preserve">‖x-x′‖²</t>
  </si>
  <si>
    <t xml:space="preserve">K(x,x′)</t>
  </si>
  <si>
    <t xml:space="preserve">same point</t>
  </si>
  <si>
    <t xml:space="preserve">near</t>
  </si>
  <si>
    <t xml:space="preserve">medium</t>
  </si>
  <si>
    <t xml:space="preserve">far</t>
  </si>
  <si>
    <t xml:space="preserve">As distance grows, K →</t>
  </si>
  <si>
    <t xml:space="preserve">a number</t>
  </si>
  <si>
    <t xml:space="preserve">Larger γ makes the SVM more or less local? (more/less)</t>
  </si>
  <si>
    <t xml:space="preserve">γ multiplies the distance</t>
  </si>
  <si>
    <t xml:space="preserve">[Description] STEP 4: neural network forward pass by hand</t>
  </si>
  <si>
    <t xml:space="preserve">One hidden layer, two units, ReLU</t>
  </si>
  <si>
    <t xml:space="preserve">ISLP §10.1 · Week 5 slide "Stop engineering features — learn them"</t>
  </si>
  <si>
    <t xml:space="preserve">GIVEN WEIGHTS</t>
  </si>
  <si>
    <t xml:space="preserve">unit</t>
  </si>
  <si>
    <t xml:space="preserve">w₀ (bias)</t>
  </si>
  <si>
    <t xml:space="preserve">w₁</t>
  </si>
  <si>
    <t xml:space="preserve">w₂</t>
  </si>
  <si>
    <t xml:space="preserve">A₁</t>
  </si>
  <si>
    <t xml:space="preserve">A₂</t>
  </si>
  <si>
    <t xml:space="preserve">output</t>
  </si>
  <si>
    <t xml:space="preserve">β₀</t>
  </si>
  <si>
    <t xml:space="preserve">β₁</t>
  </si>
  <si>
    <t xml:space="preserve">β₂</t>
  </si>
  <si>
    <t xml:space="preserve">f(X)</t>
  </si>
  <si>
    <t xml:space="preserve">Fill zₖ = wₖ₀+wₖ₁x₁+wₖ₂x₂, then Aₖ = ReLU(zₖ), then f = β₀+β₁A₁+β₂A₂</t>
  </si>
  <si>
    <t xml:space="preserve">z₁</t>
  </si>
  <si>
    <t xml:space="preserve">z₂</t>
  </si>
  <si>
    <t xml:space="preserve">Parameters in this network =</t>
  </si>
  <si>
    <t xml:space="preserve">K(p+1)+(K+1) with p=2, K=2</t>
  </si>
  <si>
    <t xml:space="preserve">MNIST net: 784→256→128→10. Layer-1 weights+biases =</t>
  </si>
  <si>
    <t xml:space="preserve">256×(784+1)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</si>
  <si>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</si>
  <si>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</si>
  <si>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</si>
  <si>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f(x) a-d</t>
  </si>
  <si>
    <t xml:space="preserve">2, -2, 1, -1</t>
  </si>
  <si>
    <t xml:space="preserve">classes</t>
  </si>
  <si>
    <t xml:space="preserve">+1, -1, +1, -1</t>
  </si>
  <si>
    <t xml:space="preserve">distances</t>
  </si>
  <si>
    <t xml:space="preserve">1.414, 1.414, 0.707, 0.707</t>
  </si>
  <si>
    <t xml:space="preserve">closest</t>
  </si>
  <si>
    <t xml:space="preserve">c and d</t>
  </si>
  <si>
    <t xml:space="preserve">STEP 2</t>
  </si>
  <si>
    <t xml:space="preserve">y·f</t>
  </si>
  <si>
    <t xml:space="preserve">2, 1.5, 0.5, -0.25, 0</t>
  </si>
  <si>
    <t xml:space="preserve">hinge</t>
  </si>
  <si>
    <t xml:space="preserve">0, 0, 0.5, 1.25, 1</t>
  </si>
  <si>
    <t xml:space="preserve">nonzero losses</t>
  </si>
  <si>
    <t xml:space="preserve">misclassified</t>
  </si>
  <si>
    <t xml:space="preserve">STEP 3</t>
  </si>
  <si>
    <t xml:space="preserve">K values</t>
  </si>
  <si>
    <t xml:space="preserve">1, 0.6065, 0.1353, 0.0111</t>
  </si>
  <si>
    <t xml:space="preserve">limit</t>
  </si>
  <si>
    <t xml:space="preserve">larger γ</t>
  </si>
  <si>
    <t xml:space="preserve">more local</t>
  </si>
  <si>
    <t xml:space="preserve">STEP 4</t>
  </si>
  <si>
    <t xml:space="preserve">row (2,1): z,A,f</t>
  </si>
  <si>
    <t xml:space="preserve">z=(1,2) A=(1,2) f=9</t>
  </si>
  <si>
    <t xml:space="preserve">row (0,1)</t>
  </si>
  <si>
    <t xml:space="preserve">z=(-1,0) A=(0,0) f=1</t>
  </si>
  <si>
    <t xml:space="preserve">row (1,2)</t>
  </si>
  <si>
    <t xml:space="preserve">z=(-1,2) A=(0,2) f=7</t>
  </si>
  <si>
    <t xml:space="preserve">parameter count</t>
  </si>
  <si>
    <t xml:space="preserve">MNIST layer 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</si>
</sst>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6" customFormat="false" ht="15" hidden="false" customHeight="false" outlineLevel="0" collapsed="false">
      <c r="A26" s="5" t="s">
        <v>22</v>
      </c>
      <c r="B26" s="6" t="s">
        <v>23</v>
      </c>
    </row>
    <row r="28" customFormat="false" ht="15" hidden="false" customHeight="false" outlineLevel="0" collapsed="false">
      <c r="A28" s="4" t="s">
        <v>24</v>
      </c>
    </row>
    <row r="30" customFormat="false" ht="15" hidden="false" customHeight="false" outlineLevel="0" collapsed="false">
      <c r="B30" s="7" t="s">
        <v>25</v>
      </c>
    </row>
    <row r="31" customFormat="false" ht="15" hidden="false" customHeight="false" outlineLevel="0" collapsed="false">
      <c r="B31" s="6" t="s">
        <v>26</v>
      </c>
    </row>
    <row r="32" customFormat="false" ht="15" hidden="false" customHeight="false" outlineLevel="0" collapsed="false">
      <c r="B32" s="8" t="s">
        <v>27</v>
      </c>
    </row>
    <row r="33" customFormat="false" ht="15" hidden="false" customHeight="false" outlineLevel="0" collapsed="false">
      <c r="A33" s="5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29</v>
      </c>
    </row>
    <row r="3" customFormat="false" ht="15" hidden="false" customHeight="false" outlineLevel="0" collapsed="false">
      <c r="A3" s="2" t="s">
        <v>30</v>
      </c>
    </row>
    <row r="5" customFormat="false" ht="15" hidden="false" customHeight="false" outlineLevel="0" collapsed="false">
      <c r="A5" s="9" t="s">
        <v>31</v>
      </c>
    </row>
    <row r="7" customFormat="false" ht="15" hidden="false" customHeight="false" outlineLevel="0" collapsed="false">
      <c r="A7" s="5" t="s">
        <v>32</v>
      </c>
    </row>
    <row r="9" customFormat="false" ht="15" hidden="false" customHeight="false" outlineLevel="0" collapsed="false">
      <c r="A9" s="4" t="s">
        <v>33</v>
      </c>
    </row>
    <row r="11" customFormat="false" ht="15" hidden="false" customHeight="false" outlineLevel="0" collapsed="false">
      <c r="A11" s="10" t="s">
        <v>34</v>
      </c>
      <c r="B11" s="10" t="s">
        <v>35</v>
      </c>
      <c r="C11" s="10" t="s">
        <v>36</v>
      </c>
      <c r="D11" s="10" t="s">
        <v>37</v>
      </c>
      <c r="E11" s="10" t="s">
        <v>38</v>
      </c>
      <c r="F11" s="10" t="s">
        <v>39</v>
      </c>
      <c r="G11" s="10" t="s">
        <v>40</v>
      </c>
    </row>
    <row r="12" customFormat="false" ht="15" hidden="false" customHeight="false" outlineLevel="0" collapsed="false">
      <c r="A12" s="7" t="s">
        <v>41</v>
      </c>
      <c r="B12" s="7" t="n">
        <v>3</v>
      </c>
      <c r="C12" s="7" t="n">
        <v>3</v>
      </c>
      <c r="D12" s="8"/>
      <c r="E12" s="8"/>
      <c r="F12" s="8"/>
      <c r="G12" s="5" t="str">
        <f aca="false">IF(COUNT(D12:F12)=0,"",IF(AND(ROUND(D12,3)=ROUND(2,3),ROUND(E12,3)=ROUND(1,3),ROUND(F12,3)=ROUND(1.414214,3)),"✓","✗"))</f>
        <v/>
      </c>
    </row>
    <row r="13" customFormat="false" ht="15" hidden="false" customHeight="false" outlineLevel="0" collapsed="false">
      <c r="A13" s="7" t="s">
        <v>42</v>
      </c>
      <c r="B13" s="7" t="n">
        <v>1</v>
      </c>
      <c r="C13" s="7" t="n">
        <v>1</v>
      </c>
      <c r="D13" s="8"/>
      <c r="E13" s="8"/>
      <c r="F13" s="8"/>
      <c r="G13" s="5" t="str">
        <f aca="false">IF(COUNT(D13:F13)=0,"",IF(AND(ROUND(D13,3)=ROUND(-2,3),ROUND(E13,3)=ROUND(-1,3),ROUND(F13,3)=ROUND(1.414214,3)),"✓","✗"))</f>
        <v/>
      </c>
    </row>
    <row r="14" customFormat="false" ht="15" hidden="false" customHeight="false" outlineLevel="0" collapsed="false">
      <c r="A14" s="7" t="s">
        <v>43</v>
      </c>
      <c r="B14" s="7" t="n">
        <v>2</v>
      </c>
      <c r="C14" s="7" t="n">
        <v>3</v>
      </c>
      <c r="D14" s="8"/>
      <c r="E14" s="8"/>
      <c r="F14" s="8"/>
      <c r="G14" s="5" t="str">
        <f aca="false">IF(COUNT(D14:F14)=0,"",IF(AND(ROUND(D14,3)=ROUND(1,3),ROUND(E14,3)=ROUND(1,3),ROUND(F14,3)=ROUND(0.707107,3)),"✓","✗"))</f>
        <v/>
      </c>
    </row>
    <row r="15" customFormat="false" ht="15" hidden="false" customHeight="false" outlineLevel="0" collapsed="false">
      <c r="A15" s="7" t="s">
        <v>44</v>
      </c>
      <c r="B15" s="7" t="n">
        <v>1</v>
      </c>
      <c r="C15" s="7" t="n">
        <v>2</v>
      </c>
      <c r="D15" s="8"/>
      <c r="E15" s="8"/>
      <c r="F15" s="8"/>
      <c r="G15" s="5" t="str">
        <f aca="false">IF(COUNT(D15:F15)=0,"",IF(AND(ROUND(D15,3)=ROUND(-1,3),ROUND(E15,3)=ROUND(-1,3),ROUND(F15,3)=ROUND(0.707107,3)),"✓","✗"))</f>
        <v/>
      </c>
    </row>
    <row r="17" customFormat="false" ht="15" hidden="false" customHeight="false" outlineLevel="0" collapsed="false">
      <c r="A17" s="5" t="s">
        <v>45</v>
      </c>
      <c r="D17" s="11" t="s">
        <v>46</v>
      </c>
      <c r="E17" s="11"/>
      <c r="F17" s="5" t="s">
        <v>47</v>
      </c>
      <c r="G17" s="12"/>
      <c r="H17" s="5" t="str">
        <f aca="false">IF(G17="","",IF(UPPER(TRIM(G17))=UPPER("c and d"),"✓","✗"))</f>
        <v/>
      </c>
    </row>
  </sheetData>
  <mergeCells count="1">
    <mergeCell ref="D17:E17"/>
  </mergeCells>
  <conditionalFormatting sqref="A1:J17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2" t="s">
        <v>49</v>
      </c>
    </row>
    <row r="5" customFormat="false" ht="15" hidden="false" customHeight="false" outlineLevel="0" collapsed="false">
      <c r="A5" s="9" t="s">
        <v>50</v>
      </c>
    </row>
    <row r="7" customFormat="false" ht="15" hidden="false" customHeight="false" outlineLevel="0" collapsed="false">
      <c r="A7" s="4" t="s">
        <v>51</v>
      </c>
    </row>
    <row r="9" customFormat="false" ht="15" hidden="false" customHeight="false" outlineLevel="0" collapsed="false">
      <c r="A9" s="10" t="s">
        <v>34</v>
      </c>
      <c r="B9" s="10" t="s">
        <v>37</v>
      </c>
      <c r="C9" s="10" t="s">
        <v>52</v>
      </c>
      <c r="D9" s="10" t="s">
        <v>53</v>
      </c>
      <c r="E9" s="10" t="s">
        <v>54</v>
      </c>
      <c r="F9" s="10" t="s">
        <v>40</v>
      </c>
    </row>
    <row r="10" customFormat="false" ht="15" hidden="false" customHeight="false" outlineLevel="0" collapsed="false">
      <c r="A10" s="7" t="s">
        <v>41</v>
      </c>
      <c r="B10" s="7" t="n">
        <v>2</v>
      </c>
      <c r="C10" s="7" t="n">
        <v>1</v>
      </c>
      <c r="D10" s="8"/>
      <c r="E10" s="8"/>
      <c r="F10" s="5" t="str">
        <f aca="false">IF(COUNT(D10:E10)=0,"",IF(AND(ROUND(D10,3)=ROUND(2,3),ROUND(E10,3)=ROUND(0,3)),"✓","✗"))</f>
        <v/>
      </c>
    </row>
    <row r="11" customFormat="false" ht="15" hidden="false" customHeight="false" outlineLevel="0" collapsed="false">
      <c r="A11" s="7" t="s">
        <v>42</v>
      </c>
      <c r="B11" s="7" t="n">
        <v>-1.5</v>
      </c>
      <c r="C11" s="7" t="n">
        <v>-1</v>
      </c>
      <c r="D11" s="8"/>
      <c r="E11" s="8"/>
      <c r="F11" s="5" t="str">
        <f aca="false">IF(COUNT(D11:E11)=0,"",IF(AND(ROUND(D11,3)=ROUND(1.5,3),ROUND(E11,3)=ROUND(0,3)),"✓","✗"))</f>
        <v/>
      </c>
    </row>
    <row r="12" customFormat="false" ht="15" hidden="false" customHeight="false" outlineLevel="0" collapsed="false">
      <c r="A12" s="7" t="s">
        <v>43</v>
      </c>
      <c r="B12" s="7" t="n">
        <v>0.5</v>
      </c>
      <c r="C12" s="7" t="n">
        <v>1</v>
      </c>
      <c r="D12" s="8"/>
      <c r="E12" s="8"/>
      <c r="F12" s="5" t="str">
        <f aca="false">IF(COUNT(D12:E12)=0,"",IF(AND(ROUND(D12,3)=ROUND(0.5,3),ROUND(E12,3)=ROUND(0.5,3)),"✓","✗"))</f>
        <v/>
      </c>
    </row>
    <row r="13" customFormat="false" ht="15" hidden="false" customHeight="false" outlineLevel="0" collapsed="false">
      <c r="A13" s="7" t="s">
        <v>44</v>
      </c>
      <c r="B13" s="7" t="n">
        <v>-0.25</v>
      </c>
      <c r="C13" s="7" t="n">
        <v>1</v>
      </c>
      <c r="D13" s="8"/>
      <c r="E13" s="8"/>
      <c r="F13" s="5" t="str">
        <f aca="false">IF(COUNT(D13:E13)=0,"",IF(AND(ROUND(D13,3)=ROUND(-0.25,3),ROUND(E13,3)=ROUND(1.25,3)),"✓","✗"))</f>
        <v/>
      </c>
    </row>
    <row r="14" customFormat="false" ht="15" hidden="false" customHeight="false" outlineLevel="0" collapsed="false">
      <c r="A14" s="7" t="s">
        <v>55</v>
      </c>
      <c r="B14" s="7" t="n">
        <v>0</v>
      </c>
      <c r="C14" s="7" t="n">
        <v>-1</v>
      </c>
      <c r="D14" s="8"/>
      <c r="E14" s="8"/>
      <c r="F14" s="5" t="str">
        <f aca="false">IF(COUNT(D14:E14)=0,"",IF(AND(ROUND(D14,3)=ROUND(0,3),ROUND(E14,3)=ROUND(1,3)),"✓","✗"))</f>
        <v/>
      </c>
    </row>
    <row r="16" customFormat="false" ht="15" hidden="false" customHeight="false" outlineLevel="0" collapsed="false">
      <c r="A16" s="5" t="s">
        <v>56</v>
      </c>
      <c r="D16" s="11" t="s">
        <v>57</v>
      </c>
      <c r="E16" s="11"/>
      <c r="F16" s="5" t="s">
        <v>47</v>
      </c>
      <c r="G16" s="12"/>
      <c r="H16" s="5" t="str">
        <f aca="false">IF(G16="","",IF(ROUND(G16,3)=ROUND(3,3),"✓","✗"))</f>
        <v/>
      </c>
    </row>
    <row r="18" customFormat="false" ht="15" hidden="false" customHeight="false" outlineLevel="0" collapsed="false">
      <c r="A18" s="5" t="s">
        <v>58</v>
      </c>
      <c r="D18" s="11" t="s">
        <v>59</v>
      </c>
      <c r="E18" s="11"/>
      <c r="F18" s="5" t="s">
        <v>47</v>
      </c>
      <c r="G18" s="12"/>
      <c r="H18" s="5" t="str">
        <f aca="false">IF(G18="","",IF(UPPER(TRIM(G18))=UPPER("d"),"✓","✗"))</f>
        <v/>
      </c>
    </row>
  </sheetData>
  <mergeCells count="2">
    <mergeCell ref="D16:E16"/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60</v>
      </c>
    </row>
    <row r="3" customFormat="false" ht="15" hidden="false" customHeight="false" outlineLevel="0" collapsed="false">
      <c r="A3" s="2" t="s">
        <v>61</v>
      </c>
    </row>
    <row r="5" customFormat="false" ht="15" hidden="false" customHeight="false" outlineLevel="0" collapsed="false">
      <c r="A5" s="9" t="s">
        <v>62</v>
      </c>
    </row>
    <row r="7" customFormat="false" ht="15" hidden="false" customHeight="false" outlineLevel="0" collapsed="false">
      <c r="A7" s="5" t="s">
        <v>63</v>
      </c>
    </row>
    <row r="9" customFormat="false" ht="15" hidden="false" customHeight="false" outlineLevel="0" collapsed="false">
      <c r="A9" s="4" t="s">
        <v>64</v>
      </c>
    </row>
    <row r="11" customFormat="false" ht="15" hidden="false" customHeight="false" outlineLevel="0" collapsed="false">
      <c r="A11" s="10" t="s">
        <v>65</v>
      </c>
      <c r="B11" s="10" t="s">
        <v>66</v>
      </c>
      <c r="C11" s="10" t="s">
        <v>67</v>
      </c>
      <c r="D11" s="10" t="s">
        <v>40</v>
      </c>
    </row>
    <row r="12" customFormat="false" ht="15" hidden="false" customHeight="false" outlineLevel="0" collapsed="false">
      <c r="A12" s="7" t="s">
        <v>68</v>
      </c>
      <c r="B12" s="7" t="n">
        <v>0</v>
      </c>
      <c r="C12" s="8"/>
      <c r="D12" s="5" t="str">
        <f aca="false">IF(COUNT(C12)=0,"",IF(AND(ROUND(C12,3)=ROUND(1,3)),"✓","✗"))</f>
        <v/>
      </c>
    </row>
    <row r="13" customFormat="false" ht="15" hidden="false" customHeight="false" outlineLevel="0" collapsed="false">
      <c r="A13" s="7" t="s">
        <v>69</v>
      </c>
      <c r="B13" s="7" t="n">
        <v>1</v>
      </c>
      <c r="C13" s="8"/>
      <c r="D13" s="5" t="str">
        <f aca="false">IF(COUNT(C13)=0,"",IF(AND(ROUND(C13,3)=ROUND(0.606531,3)),"✓","✗"))</f>
        <v/>
      </c>
    </row>
    <row r="14" customFormat="false" ht="15" hidden="false" customHeight="false" outlineLevel="0" collapsed="false">
      <c r="A14" s="7" t="s">
        <v>70</v>
      </c>
      <c r="B14" s="7" t="n">
        <v>4</v>
      </c>
      <c r="C14" s="8"/>
      <c r="D14" s="5" t="str">
        <f aca="false">IF(COUNT(C14)=0,"",IF(AND(ROUND(C14,3)=ROUND(0.135335,3)),"✓","✗"))</f>
        <v/>
      </c>
    </row>
    <row r="15" customFormat="false" ht="15" hidden="false" customHeight="false" outlineLevel="0" collapsed="false">
      <c r="A15" s="7" t="s">
        <v>71</v>
      </c>
      <c r="B15" s="7" t="n">
        <v>9</v>
      </c>
      <c r="C15" s="8"/>
      <c r="D15" s="5" t="str">
        <f aca="false">IF(COUNT(C15)=0,"",IF(AND(ROUND(C15,3)=ROUND(0.011109,3)),"✓","✗"))</f>
        <v/>
      </c>
    </row>
    <row r="17" customFormat="false" ht="15" hidden="false" customHeight="false" outlineLevel="0" collapsed="false">
      <c r="A17" s="5" t="s">
        <v>72</v>
      </c>
      <c r="D17" s="11" t="s">
        <v>73</v>
      </c>
      <c r="E17" s="11"/>
      <c r="F17" s="5" t="s">
        <v>47</v>
      </c>
      <c r="G17" s="12"/>
      <c r="H17" s="5" t="str">
        <f aca="false">IF(G17="","",IF(ROUND(G17,3)=ROUND(0,3),"✓","✗"))</f>
        <v/>
      </c>
    </row>
    <row r="19" customFormat="false" ht="15" hidden="false" customHeight="false" outlineLevel="0" collapsed="false">
      <c r="A19" s="5" t="s">
        <v>74</v>
      </c>
      <c r="D19" s="11" t="s">
        <v>75</v>
      </c>
      <c r="E19" s="11"/>
      <c r="F19" s="5" t="s">
        <v>47</v>
      </c>
      <c r="G19" s="12"/>
      <c r="H19" s="5" t="str">
        <f aca="false">IF(G19="","",IF(UPPER(TRIM(G19))=UPPER("more"),"✓","✗"))</f>
        <v/>
      </c>
    </row>
  </sheetData>
  <mergeCells count="2">
    <mergeCell ref="D17:E17"/>
    <mergeCell ref="D19:E19"/>
  </mergeCells>
  <conditionalFormatting sqref="A1:J1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6" min="3" style="0" width="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76</v>
      </c>
    </row>
    <row r="3" customFormat="false" ht="15" hidden="false" customHeight="false" outlineLevel="0" collapsed="false">
      <c r="A3" s="2" t="s">
        <v>77</v>
      </c>
    </row>
    <row r="5" customFormat="false" ht="15" hidden="false" customHeight="false" outlineLevel="0" collapsed="false">
      <c r="A5" s="9" t="s">
        <v>78</v>
      </c>
    </row>
    <row r="7" customFormat="false" ht="15" hidden="false" customHeight="false" outlineLevel="0" collapsed="false">
      <c r="A7" s="4" t="s">
        <v>79</v>
      </c>
    </row>
    <row r="9" customFormat="false" ht="15" hidden="false" customHeight="false" outlineLevel="0" collapsed="false">
      <c r="A9" s="10" t="s">
        <v>80</v>
      </c>
      <c r="B9" s="10" t="s">
        <v>81</v>
      </c>
      <c r="C9" s="10" t="s">
        <v>82</v>
      </c>
      <c r="D9" s="10" t="s">
        <v>83</v>
      </c>
    </row>
    <row r="10" customFormat="false" ht="15" hidden="false" customHeight="false" outlineLevel="0" collapsed="false">
      <c r="A10" s="7" t="s">
        <v>84</v>
      </c>
      <c r="B10" s="7" t="n">
        <v>0</v>
      </c>
      <c r="C10" s="7" t="n">
        <v>1</v>
      </c>
      <c r="D10" s="7" t="n">
        <v>-1</v>
      </c>
    </row>
    <row r="11" customFormat="false" ht="15" hidden="false" customHeight="false" outlineLevel="0" collapsed="false">
      <c r="A11" s="7" t="s">
        <v>85</v>
      </c>
      <c r="B11" s="7" t="n">
        <v>-1</v>
      </c>
      <c r="C11" s="7" t="n">
        <v>1</v>
      </c>
      <c r="D11" s="7" t="n">
        <v>1</v>
      </c>
    </row>
    <row r="13" customFormat="false" ht="15" hidden="false" customHeight="false" outlineLevel="0" collapsed="false">
      <c r="A13" s="10" t="s">
        <v>86</v>
      </c>
      <c r="B13" s="10" t="s">
        <v>87</v>
      </c>
      <c r="C13" s="10" t="s">
        <v>88</v>
      </c>
      <c r="D13" s="10" t="s">
        <v>89</v>
      </c>
    </row>
    <row r="14" customFormat="false" ht="15" hidden="false" customHeight="false" outlineLevel="0" collapsed="false">
      <c r="A14" s="7" t="s">
        <v>90</v>
      </c>
      <c r="B14" s="7" t="n">
        <v>1</v>
      </c>
      <c r="C14" s="7" t="n">
        <v>2</v>
      </c>
      <c r="D14" s="7" t="n">
        <v>3</v>
      </c>
    </row>
    <row r="16" customFormat="false" ht="15" hidden="false" customHeight="false" outlineLevel="0" collapsed="false">
      <c r="A16" s="4" t="s">
        <v>91</v>
      </c>
    </row>
    <row r="18" customFormat="false" ht="15" hidden="false" customHeight="false" outlineLevel="0" collapsed="false">
      <c r="A18" s="10" t="s">
        <v>35</v>
      </c>
      <c r="B18" s="10" t="s">
        <v>36</v>
      </c>
      <c r="C18" s="10" t="s">
        <v>92</v>
      </c>
      <c r="D18" s="10" t="s">
        <v>93</v>
      </c>
      <c r="E18" s="10" t="s">
        <v>84</v>
      </c>
      <c r="F18" s="10" t="s">
        <v>85</v>
      </c>
      <c r="G18" s="10" t="s">
        <v>90</v>
      </c>
      <c r="H18" s="10" t="s">
        <v>40</v>
      </c>
    </row>
    <row r="19" customFormat="false" ht="15" hidden="false" customHeight="false" outlineLevel="0" collapsed="false">
      <c r="A19" s="7" t="n">
        <v>2</v>
      </c>
      <c r="B19" s="7" t="n">
        <v>1</v>
      </c>
      <c r="C19" s="8"/>
      <c r="D19" s="8"/>
      <c r="E19" s="8"/>
      <c r="F19" s="8"/>
      <c r="G19" s="8"/>
      <c r="H19" s="5" t="str">
        <f aca="false">IF(COUNT(C19:G19)=0,"",IF(AND(ROUND(C19,3)=ROUND(1,3),ROUND(D19,3)=ROUND(2,3),ROUND(E19,3)=ROUND(1,3),ROUND(F19,3)=ROUND(2,3),ROUND(G19,3)=ROUND(9,3)),"✓","✗"))</f>
        <v/>
      </c>
    </row>
    <row r="20" customFormat="false" ht="15" hidden="false" customHeight="false" outlineLevel="0" collapsed="false">
      <c r="A20" s="7" t="n">
        <v>0</v>
      </c>
      <c r="B20" s="7" t="n">
        <v>1</v>
      </c>
      <c r="C20" s="8"/>
      <c r="D20" s="8"/>
      <c r="E20" s="8"/>
      <c r="F20" s="8"/>
      <c r="G20" s="8"/>
      <c r="H20" s="5" t="str">
        <f aca="false">IF(COUNT(C20:G20)=0,"",IF(AND(ROUND(C20,3)=ROUND(-1,3),ROUND(D20,3)=ROUND(0,3),ROUND(E20,3)=ROUND(0,3),ROUND(F20,3)=ROUND(0,3),ROUND(G20,3)=ROUND(1,3)),"✓","✗"))</f>
        <v/>
      </c>
    </row>
    <row r="21" customFormat="false" ht="15" hidden="false" customHeight="false" outlineLevel="0" collapsed="false">
      <c r="A21" s="7" t="n">
        <v>1</v>
      </c>
      <c r="B21" s="7" t="n">
        <v>2</v>
      </c>
      <c r="C21" s="8"/>
      <c r="D21" s="8"/>
      <c r="E21" s="8"/>
      <c r="F21" s="8"/>
      <c r="G21" s="8"/>
      <c r="H21" s="5" t="str">
        <f aca="false">IF(COUNT(C21:G21)=0,"",IF(AND(ROUND(C21,3)=ROUND(-1,3),ROUND(D21,3)=ROUND(2,3),ROUND(E21,3)=ROUND(0,3),ROUND(F21,3)=ROUND(2,3),ROUND(G21,3)=ROUND(7,3)),"✓","✗"))</f>
        <v/>
      </c>
    </row>
    <row r="23" customFormat="false" ht="15" hidden="false" customHeight="false" outlineLevel="0" collapsed="false">
      <c r="A23" s="5" t="s">
        <v>94</v>
      </c>
      <c r="D23" s="11" t="s">
        <v>95</v>
      </c>
      <c r="E23" s="11"/>
      <c r="F23" s="5" t="s">
        <v>47</v>
      </c>
      <c r="G23" s="12"/>
      <c r="H23" s="5" t="str">
        <f aca="false">IF(G23="","",IF(ROUND(G23,3)=ROUND(9,3),"✓","✗"))</f>
        <v/>
      </c>
    </row>
    <row r="25" customFormat="false" ht="15" hidden="false" customHeight="false" outlineLevel="0" collapsed="false">
      <c r="A25" s="5" t="s">
        <v>96</v>
      </c>
      <c r="D25" s="11" t="s">
        <v>97</v>
      </c>
      <c r="E25" s="11"/>
      <c r="F25" s="5" t="s">
        <v>47</v>
      </c>
      <c r="G25" s="12"/>
      <c r="H25" s="5" t="str">
        <f aca="false">IF(G25="","",IF(ROUND(G25,3)=ROUND(200960,3),"✓","✗"))</f>
        <v/>
      </c>
    </row>
  </sheetData>
  <mergeCells count="2">
    <mergeCell ref="D23:E23"/>
    <mergeCell ref="D25:E25"/>
  </mergeCells>
  <conditionalFormatting sqref="A1:J2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98</v>
      </c>
    </row>
    <row r="3" customFormat="false" ht="15" hidden="false" customHeight="false" outlineLevel="0" collapsed="false">
      <c r="A3" s="2" t="s">
        <v>99</v>
      </c>
    </row>
    <row r="5" customFormat="false" ht="15" hidden="false" customHeight="false" outlineLevel="0" collapsed="false">
      <c r="A5" s="4" t="s">
        <v>100</v>
      </c>
    </row>
    <row r="7" customFormat="false" ht="15" hidden="false" customHeight="false" outlineLevel="0" collapsed="false">
      <c r="A7" s="5" t="s">
        <v>101</v>
      </c>
      <c r="B7" s="7" t="s">
        <v>102</v>
      </c>
    </row>
    <row r="8" customFormat="false" ht="15" hidden="false" customHeight="false" outlineLevel="0" collapsed="false">
      <c r="A8" s="5" t="s">
        <v>103</v>
      </c>
      <c r="B8" s="7" t="s">
        <v>104</v>
      </c>
    </row>
    <row r="9" customFormat="false" ht="15" hidden="false" customHeight="false" outlineLevel="0" collapsed="false">
      <c r="A9" s="5" t="s">
        <v>105</v>
      </c>
      <c r="B9" s="7" t="s">
        <v>106</v>
      </c>
    </row>
    <row r="10" customFormat="false" ht="15" hidden="false" customHeight="false" outlineLevel="0" collapsed="false">
      <c r="A10" s="5" t="s">
        <v>107</v>
      </c>
      <c r="B10" s="7" t="s">
        <v>108</v>
      </c>
    </row>
    <row r="12" customFormat="false" ht="15" hidden="false" customHeight="false" outlineLevel="0" collapsed="false">
      <c r="A12" s="4" t="s">
        <v>109</v>
      </c>
    </row>
    <row r="14" customFormat="false" ht="15" hidden="false" customHeight="false" outlineLevel="0" collapsed="false">
      <c r="A14" s="5" t="s">
        <v>110</v>
      </c>
      <c r="B14" s="7" t="s">
        <v>111</v>
      </c>
    </row>
    <row r="15" customFormat="false" ht="15" hidden="false" customHeight="false" outlineLevel="0" collapsed="false">
      <c r="A15" s="5" t="s">
        <v>112</v>
      </c>
      <c r="B15" s="7" t="s">
        <v>113</v>
      </c>
    </row>
    <row r="16" customFormat="false" ht="15" hidden="false" customHeight="false" outlineLevel="0" collapsed="false">
      <c r="A16" s="5" t="s">
        <v>114</v>
      </c>
      <c r="B16" s="7" t="n">
        <v>3</v>
      </c>
    </row>
    <row r="17" customFormat="false" ht="15" hidden="false" customHeight="false" outlineLevel="0" collapsed="false">
      <c r="A17" s="5" t="s">
        <v>115</v>
      </c>
      <c r="B17" s="7" t="s">
        <v>44</v>
      </c>
    </row>
    <row r="19" customFormat="false" ht="15" hidden="false" customHeight="false" outlineLevel="0" collapsed="false">
      <c r="A19" s="4" t="s">
        <v>116</v>
      </c>
    </row>
    <row r="21" customFormat="false" ht="15" hidden="false" customHeight="false" outlineLevel="0" collapsed="false">
      <c r="A21" s="5" t="s">
        <v>117</v>
      </c>
      <c r="B21" s="7" t="s">
        <v>118</v>
      </c>
    </row>
    <row r="22" customFormat="false" ht="15" hidden="false" customHeight="false" outlineLevel="0" collapsed="false">
      <c r="A22" s="5" t="s">
        <v>119</v>
      </c>
      <c r="B22" s="7" t="n">
        <v>0</v>
      </c>
    </row>
    <row r="23" customFormat="false" ht="15" hidden="false" customHeight="false" outlineLevel="0" collapsed="false">
      <c r="A23" s="5" t="s">
        <v>120</v>
      </c>
      <c r="B23" s="7" t="s">
        <v>121</v>
      </c>
    </row>
    <row r="25" customFormat="false" ht="15" hidden="false" customHeight="false" outlineLevel="0" collapsed="false">
      <c r="A25" s="4" t="s">
        <v>122</v>
      </c>
    </row>
    <row r="27" customFormat="false" ht="15" hidden="false" customHeight="false" outlineLevel="0" collapsed="false">
      <c r="A27" s="5" t="s">
        <v>123</v>
      </c>
      <c r="B27" s="7" t="s">
        <v>124</v>
      </c>
    </row>
    <row r="28" customFormat="false" ht="15" hidden="false" customHeight="false" outlineLevel="0" collapsed="false">
      <c r="A28" s="5" t="s">
        <v>125</v>
      </c>
      <c r="B28" s="7" t="s">
        <v>126</v>
      </c>
    </row>
    <row r="29" customFormat="false" ht="15" hidden="false" customHeight="false" outlineLevel="0" collapsed="false">
      <c r="A29" s="5" t="s">
        <v>127</v>
      </c>
      <c r="B29" s="7" t="s">
        <v>128</v>
      </c>
    </row>
    <row r="30" customFormat="false" ht="15" hidden="false" customHeight="false" outlineLevel="0" collapsed="false">
      <c r="A30" s="5" t="s">
        <v>129</v>
      </c>
      <c r="B30" s="7" t="n">
        <v>9</v>
      </c>
    </row>
    <row r="31" customFormat="false" ht="15" hidden="false" customHeight="false" outlineLevel="0" collapsed="false">
      <c r="A31" s="5" t="s">
        <v>130</v>
      </c>
      <c r="B31" s="7" t="n">
        <v>200960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2026-07-07T19:42:59Z</dcterms:created>
  <dc:creator>openpyxl</dc:creator>
  <dc:description/>
  <dc:language>en-US</dc:language>
  <cp:lastModifiedBy/>
  <dcterms:modified xsi:type="dcterms:W3CDTF">2026-07-07T19:42:59Z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