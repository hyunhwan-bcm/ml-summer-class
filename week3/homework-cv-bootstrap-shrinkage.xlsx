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tep1_kFold_CV" sheetId="2" state="visible" r:id="rId4"/>
    <sheet name="Step2_Bootstrap" sheetId="3" state="visible" r:id="rId5"/>
    <sheet name="Step3_Ridge" sheetId="4" state="visible" r:id="rId6"/>
    <sheet name="Step4_Lasso" sheetId="5" state="visible" r:id="rId7"/>
    <sheet name="Answer_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<sst xmlns="http://schemas.openxmlformats.org/spreadsheetml/2006/main" count="118" uniqueCount="106">
  <si>
    <t xml:space="preserve">[Description] Cross-Validation, Bootstrap &amp; Shrinkage</t>
  </si>
  <si>
    <t xml:space="preserve">Cross-Validation, Bootstrap &amp; Shrinkage — Homework Worksheet</t>
  </si>
  <si>
    <t xml:space="preserve">ML Summer Class · fill the YELLOW cells; each entry is auto-checked (✓/✗).</t>
  </si>
  <si>
    <t xml:space="preserve">Learning Objectives:</t>
  </si>
  <si>
    <t xml:space="preserve">1. Average fold errors into a CV estimate and pick between models</t>
  </si>
  <si>
    <t xml:space="preserve">2. Compute a bootstrap standard error from resamples</t>
  </si>
  <si>
    <t xml:space="preserve">3. Trace how ridge shrinks a coefficient as λ grows</t>
  </si>
  <si>
    <t xml:space="preserve">4. Apply the lasso soft-threshold and produce an exact zero</t>
  </si>
  <si>
    <t xml:space="preserve">Readings &amp; Slides:</t>
  </si>
  <si>
    <t xml:space="preserve">• ISLP §5.1 (Cross-Validation), §5.2 (Bootstrap), §6.2 (Ridge &amp; Lasso)</t>
  </si>
  <si>
    <t xml:space="preserve">• Week 3 slides: "The industry standard: k-fold CV", "Resample your data…", "Ridge: don't select — shrink", "The lasso"</t>
  </si>
  <si>
    <t xml:space="preserve">Key Formulas:</t>
  </si>
  <si>
    <t xml:space="preserve">k-fold CV</t>
  </si>
  <si>
    <t xml:space="preserve">CV = (1/k) Σ MSEᵢ</t>
  </si>
  <si>
    <t xml:space="preserve">P(not in bootstrap sample)</t>
  </si>
  <si>
    <t xml:space="preserve">(1 - 1/n)ⁿ</t>
  </si>
  <si>
    <t xml:space="preserve">Bootstrap SE</t>
  </si>
  <si>
    <t xml:space="preserve">SE = √[ Σ(θ̂*ᵇ - θ̄*)² / (B-1) ]</t>
  </si>
  <si>
    <t xml:space="preserve">Ridge (1 centered predictor)</t>
  </si>
  <si>
    <t xml:space="preserve">β̂λ = Σxᵢyᵢ / (Σxᵢ² + λ)</t>
  </si>
  <si>
    <t xml:space="preserve">Lasso soft-threshold</t>
  </si>
  <si>
    <t xml:space="preserve">β̂ = sign(b)·max(|b| - λ/2, 0)</t>
  </si>
  <si>
    <t xml:space="preserve">Color Guide:</t>
  </si>
  <si>
    <t xml:space="preserve">Given Data (Input)</t>
  </si>
  <si>
    <t xml:space="preserve">Formula Hint</t>
  </si>
  <si>
    <t xml:space="preserve">Your Answer (fill this!)</t>
  </si>
  <si>
    <t xml:space="preserve">✓ = correct   ✗ = incorrect (recheck your formula)</t>
  </si>
  <si>
    <t xml:space="preserve">[Description] STEP 1: 5-fold cross-validation for two candidate models</t>
  </si>
  <si>
    <t xml:space="preserve">Which model does CV prefer?</t>
  </si>
  <si>
    <t xml:space="preserve">ISLP §5.1.3 · Week 3 slide "The industry standard: k-fold CV"</t>
  </si>
  <si>
    <t xml:space="preserve">GIVEN: per-fold validation MSEs</t>
  </si>
  <si>
    <t xml:space="preserve">Fold</t>
  </si>
  <si>
    <t xml:space="preserve">MSE (linear)</t>
  </si>
  <si>
    <t xml:space="preserve">MSE (quadratic)</t>
  </si>
  <si>
    <t xml:space="preserve">CV(linear) =</t>
  </si>
  <si>
    <t xml:space="preserve">average of 5 folds</t>
  </si>
  <si>
    <t xml:space="preserve">Your Answer:</t>
  </si>
  <si>
    <t xml:space="preserve">CV(quadratic) =</t>
  </si>
  <si>
    <t xml:space="preserve">CV picks… (linear/quadratic)</t>
  </si>
  <si>
    <t xml:space="preserve">Fold 4 alone picks… (linear/quadratic)</t>
  </si>
  <si>
    <t xml:space="preserve">a single validation split can mislead!</t>
  </si>
  <si>
    <t xml:space="preserve">[Description] STEP 2: bootstrap SE of the sample mean</t>
  </si>
  <si>
    <t xml:space="preserve">Resampling {3, 5, 7}</t>
  </si>
  <si>
    <t xml:space="preserve">ISLP §5.2 · Week 3 slides "Resample your data as if it were the population"</t>
  </si>
  <si>
    <t xml:space="preserve">Original sample: 3, 5, 7 (n = 3). Five bootstrap resamples were drawn (with replacement):</t>
  </si>
  <si>
    <t xml:space="preserve">Fill each resample mean θ̂*ᵇ</t>
  </si>
  <si>
    <t xml:space="preserve">b</t>
  </si>
  <si>
    <t xml:space="preserve">draw 1</t>
  </si>
  <si>
    <t xml:space="preserve">draw 2</t>
  </si>
  <si>
    <t xml:space="preserve">draw 3</t>
  </si>
  <si>
    <t xml:space="preserve">mean θ̂*ᵇ</t>
  </si>
  <si>
    <t xml:space="preserve">Check</t>
  </si>
  <si>
    <t xml:space="preserve">Mean of the 5 resample means =</t>
  </si>
  <si>
    <t xml:space="preserve">θ̄*</t>
  </si>
  <si>
    <t xml:space="preserve">Bootstrap SE =</t>
  </si>
  <si>
    <t xml:space="preserve">sample SD of the 5 means (divide by B-1=4)</t>
  </si>
  <si>
    <t xml:space="preserve">P(obs. i not in one resample) =</t>
  </si>
  <si>
    <t xml:space="preserve">(1-1/3)³</t>
  </si>
  <si>
    <t xml:space="preserve">[Description] STEP 3: ridge shrinkage path by hand</t>
  </si>
  <si>
    <t xml:space="preserve">One centered predictor</t>
  </si>
  <si>
    <t xml:space="preserve">ISLP §6.2.1 · Week 3 slide "Ridge: don't select — shrink"</t>
  </si>
  <si>
    <t xml:space="preserve">Centered data with Σxᵢyᵢ = 20 and Σxᵢ² = 10, so OLS gives β̂ = 2.</t>
  </si>
  <si>
    <t xml:space="preserve">Fill β̂λ = 20/(10+λ) for each λ</t>
  </si>
  <si>
    <t xml:space="preserve">λ</t>
  </si>
  <si>
    <t xml:space="preserve">β̂λ</t>
  </si>
  <si>
    <t xml:space="preserve">Does ridge ever reach exactly 0? (Yes/No)</t>
  </si>
  <si>
    <t xml:space="preserve">look at the formula</t>
  </si>
  <si>
    <t xml:space="preserve">[Description] STEP 4: lasso soft-thresholding</t>
  </si>
  <si>
    <t xml:space="preserve">Shrink AND select</t>
  </si>
  <si>
    <t xml:space="preserve">ISLP §6.2.2 · Week 3 slides "The lasso: shrink until it selects", "Why zeros? The geometry"</t>
  </si>
  <si>
    <t xml:space="preserve">Orthonormal setting: lasso applies β̂ⱼ = sign(bⱼ)·max(|bⱼ| - λ/2, 0) to each OLS coefficient bⱼ. Take λ/2 = 1.</t>
  </si>
  <si>
    <t xml:space="preserve">Fill the lasso coefficients</t>
  </si>
  <si>
    <t xml:space="preserve">Predictor</t>
  </si>
  <si>
    <t xml:space="preserve">OLS bⱼ</t>
  </si>
  <si>
    <t xml:space="preserve">Lasso β̂ⱼ (λ/2 = 1)</t>
  </si>
  <si>
    <t xml:space="preserve">X₁</t>
  </si>
  <si>
    <t xml:space="preserve">X₂</t>
  </si>
  <si>
    <t xml:space="preserve">X₃</t>
  </si>
  <si>
    <t xml:space="preserve">X₄</t>
  </si>
  <si>
    <t xml:space="preserve">How many coefficients are exactly 0?</t>
  </si>
  <si>
    <t xml:space="preserve">the "selection" in action</t>
  </si>
  <si>
    <t xml:space="preserve">Same λ with ridge: how many exact zeros?</t>
  </si>
  <si>
    <t xml:space="preserve">[Description] ANSWER KEY - all solutions. No peeking until you have tried!</t>
  </si>
  <si>
    <t xml:space="preserve">ANSWER KEY</t>
  </si>
  <si>
    <t xml:space="preserve">STEP 1</t>
  </si>
  <si>
    <t xml:space="preserve">CV linear / quadratic</t>
  </si>
  <si>
    <t xml:space="preserve">3.2 / 2.8</t>
  </si>
  <si>
    <t xml:space="preserve">CV winner</t>
  </si>
  <si>
    <t xml:space="preserve">quadratic</t>
  </si>
  <si>
    <t xml:space="preserve">Fold-4-only winner</t>
  </si>
  <si>
    <t xml:space="preserve">linear</t>
  </si>
  <si>
    <t xml:space="preserve">STEP 2</t>
  </si>
  <si>
    <t xml:space="preserve">Resample means</t>
  </si>
  <si>
    <t xml:space="preserve">5, 3.667, 6.333, 5.667, 5.667</t>
  </si>
  <si>
    <t xml:space="preserve">Mean of means</t>
  </si>
  <si>
    <t xml:space="preserve">P(not in sample)</t>
  </si>
  <si>
    <t xml:space="preserve">STEP 3</t>
  </si>
  <si>
    <t xml:space="preserve">β̂λ for λ=0,10,40,90,990</t>
  </si>
  <si>
    <t xml:space="preserve">2, 1, 0.4, 0.2, 0.02</t>
  </si>
  <si>
    <t xml:space="preserve">Reaches zero?</t>
  </si>
  <si>
    <t xml:space="preserve">No</t>
  </si>
  <si>
    <t xml:space="preserve">STEP 4</t>
  </si>
  <si>
    <t xml:space="preserve">Lasso coefficients</t>
  </si>
  <si>
    <t xml:space="preserve">2, -0.5, 0, 0</t>
  </si>
  <si>
    <t xml:space="preserve">Exact zeros</t>
  </si>
  <si>
    <t xml:space="preserve">Ridge zeros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</si>
</sst>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50505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sz val="11"/>
      <name val="Calibri"/>
      <family val="0"/>
      <charset val="1"/>
    </font>
    <font>
      <i val="true"/>
      <sz val="10"/>
      <color rgb="FF1E64C8"/>
      <name val="Calibri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0F8FF"/>
        <bgColor rgb="FFF2F2F2"/>
      </patternFill>
    </fill>
    <fill>
      <patternFill patternType="solid">
        <fgColor rgb="FFF2F2F2"/>
        <bgColor rgb="FFF0F8FF"/>
      </patternFill>
    </fill>
    <fill>
      <patternFill patternType="solid">
        <fgColor rgb="FFD8E4BC"/>
        <bgColor rgb="FFDAEEF3"/>
      </patternFill>
    </fill>
    <fill>
      <patternFill patternType="solid">
        <fgColor rgb="FFDAEE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1E64C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07C10"/>
      </font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AEEF3"/>
      <rgbColor rgb="FF660066"/>
      <rgbColor rgb="FFFF8080"/>
      <rgbColor rgb="FF1E64C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F"/>
      <rgbColor rgb="FFD8E4B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7" customFormat="false" ht="15" hidden="false" customHeight="false" outlineLevel="0" collapsed="false">
      <c r="A7" s="4" t="s">
        <v>3</v>
      </c>
    </row>
    <row r="9" customFormat="false" ht="15" hidden="false" customHeight="false" outlineLevel="0" collapsed="false">
      <c r="A9" s="5" t="s">
        <v>4</v>
      </c>
    </row>
    <row r="10" customFormat="false" ht="15" hidden="false" customHeight="false" outlineLevel="0" collapsed="false">
      <c r="A10" s="5" t="s">
        <v>5</v>
      </c>
    </row>
    <row r="11" customFormat="false" ht="15" hidden="false" customHeight="false" outlineLevel="0" collapsed="false">
      <c r="A11" s="5" t="s">
        <v>6</v>
      </c>
    </row>
    <row r="12" customFormat="false" ht="15" hidden="false" customHeight="false" outlineLevel="0" collapsed="false">
      <c r="A12" s="5" t="s">
        <v>7</v>
      </c>
    </row>
    <row r="14" customFormat="false" ht="15" hidden="false" customHeight="false" outlineLevel="0" collapsed="false">
      <c r="A14" s="4" t="s">
        <v>8</v>
      </c>
    </row>
    <row r="16" customFormat="false" ht="15" hidden="false" customHeight="false" outlineLevel="0" collapsed="false">
      <c r="A16" s="5" t="s">
        <v>9</v>
      </c>
    </row>
    <row r="17" customFormat="false" ht="15" hidden="false" customHeight="false" outlineLevel="0" collapsed="false">
      <c r="A17" s="5" t="s">
        <v>10</v>
      </c>
    </row>
    <row r="19" customFormat="false" ht="15" hidden="false" customHeight="false" outlineLevel="0" collapsed="false">
      <c r="A19" s="4" t="s">
        <v>11</v>
      </c>
    </row>
    <row r="21" customFormat="false" ht="15" hidden="false" customHeight="false" outlineLevel="0" collapsed="false">
      <c r="A21" s="5" t="s">
        <v>12</v>
      </c>
      <c r="B21" s="6" t="s">
        <v>13</v>
      </c>
    </row>
    <row r="22" customFormat="false" ht="15" hidden="false" customHeight="false" outlineLevel="0" collapsed="false">
      <c r="A22" s="5" t="s">
        <v>14</v>
      </c>
      <c r="B22" s="6" t="s">
        <v>15</v>
      </c>
    </row>
    <row r="23" customFormat="false" ht="15" hidden="false" customHeight="false" outlineLevel="0" collapsed="false">
      <c r="A23" s="5" t="s">
        <v>16</v>
      </c>
      <c r="B23" s="6" t="s">
        <v>17</v>
      </c>
    </row>
    <row r="24" customFormat="false" ht="15" hidden="false" customHeight="false" outlineLevel="0" collapsed="false">
      <c r="A24" s="5" t="s">
        <v>18</v>
      </c>
      <c r="B24" s="6" t="s">
        <v>19</v>
      </c>
    </row>
    <row r="25" customFormat="false" ht="15" hidden="false" customHeight="false" outlineLevel="0" collapsed="false">
      <c r="A25" s="5" t="s">
        <v>20</v>
      </c>
      <c r="B25" s="6" t="s">
        <v>21</v>
      </c>
    </row>
    <row r="27" customFormat="false" ht="15" hidden="false" customHeight="false" outlineLevel="0" collapsed="false">
      <c r="A27" s="4" t="s">
        <v>22</v>
      </c>
    </row>
    <row r="29" customFormat="false" ht="15" hidden="false" customHeight="false" outlineLevel="0" collapsed="false">
      <c r="B29" s="7" t="s">
        <v>23</v>
      </c>
    </row>
    <row r="30" customFormat="false" ht="15" hidden="false" customHeight="false" outlineLevel="0" collapsed="false">
      <c r="B30" s="6" t="s">
        <v>24</v>
      </c>
    </row>
    <row r="31" customFormat="false" ht="15" hidden="false" customHeight="false" outlineLevel="0" collapsed="false">
      <c r="B31" s="8" t="s">
        <v>25</v>
      </c>
    </row>
    <row r="32" customFormat="false" ht="15" hidden="false" customHeight="false" outlineLevel="0" collapsed="false">
      <c r="A32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27</v>
      </c>
    </row>
    <row r="3" customFormat="false" ht="15" hidden="false" customHeight="false" outlineLevel="0" collapsed="false">
      <c r="A3" s="2" t="s">
        <v>28</v>
      </c>
    </row>
    <row r="5" customFormat="false" ht="15" hidden="false" customHeight="false" outlineLevel="0" collapsed="false">
      <c r="A5" s="9" t="s">
        <v>29</v>
      </c>
    </row>
    <row r="7" customFormat="false" ht="15" hidden="false" customHeight="false" outlineLevel="0" collapsed="false">
      <c r="A7" s="4" t="s">
        <v>30</v>
      </c>
    </row>
    <row r="9" customFormat="false" ht="15" hidden="false" customHeight="false" outlineLevel="0" collapsed="false">
      <c r="A9" s="10" t="s">
        <v>31</v>
      </c>
      <c r="B9" s="10" t="s">
        <v>32</v>
      </c>
      <c r="C9" s="10" t="s">
        <v>33</v>
      </c>
    </row>
    <row r="10" customFormat="false" ht="15" hidden="false" customHeight="false" outlineLevel="0" collapsed="false">
      <c r="A10" s="7" t="n">
        <v>1</v>
      </c>
      <c r="B10" s="7" t="n">
        <v>3.2</v>
      </c>
      <c r="C10" s="7" t="n">
        <v>2.9</v>
      </c>
    </row>
    <row r="11" customFormat="false" ht="15" hidden="false" customHeight="false" outlineLevel="0" collapsed="false">
      <c r="A11" s="7" t="n">
        <v>2</v>
      </c>
      <c r="B11" s="7" t="n">
        <v>2.8</v>
      </c>
      <c r="C11" s="7" t="n">
        <v>2.4</v>
      </c>
    </row>
    <row r="12" customFormat="false" ht="15" hidden="false" customHeight="false" outlineLevel="0" collapsed="false">
      <c r="A12" s="7" t="n">
        <v>3</v>
      </c>
      <c r="B12" s="7" t="n">
        <v>3.6</v>
      </c>
      <c r="C12" s="7" t="n">
        <v>2.7</v>
      </c>
    </row>
    <row r="13" customFormat="false" ht="15" hidden="false" customHeight="false" outlineLevel="0" collapsed="false">
      <c r="A13" s="7" t="n">
        <v>4</v>
      </c>
      <c r="B13" s="7" t="n">
        <v>3</v>
      </c>
      <c r="C13" s="7" t="n">
        <v>3.3</v>
      </c>
    </row>
    <row r="14" customFormat="false" ht="15" hidden="false" customHeight="false" outlineLevel="0" collapsed="false">
      <c r="A14" s="7" t="n">
        <v>5</v>
      </c>
      <c r="B14" s="7" t="n">
        <v>3.4</v>
      </c>
      <c r="C14" s="7" t="n">
        <v>2.7</v>
      </c>
    </row>
    <row r="16" customFormat="false" ht="15" hidden="false" customHeight="false" outlineLevel="0" collapsed="false">
      <c r="A16" s="5" t="s">
        <v>34</v>
      </c>
      <c r="D16" s="11" t="s">
        <v>35</v>
      </c>
      <c r="E16" s="11"/>
      <c r="F16" s="5" t="s">
        <v>36</v>
      </c>
      <c r="G16" s="12"/>
      <c r="H16" s="5" t="str">
        <f aca="false">IF(G16="","",IF(ROUND(G16,3)=ROUND(3.2,3),"✓","✗"))</f>
        <v/>
      </c>
    </row>
    <row r="18" customFormat="false" ht="15" hidden="false" customHeight="false" outlineLevel="0" collapsed="false">
      <c r="A18" s="5" t="s">
        <v>37</v>
      </c>
      <c r="D18" s="11"/>
      <c r="E18" s="11"/>
      <c r="F18" s="5" t="s">
        <v>36</v>
      </c>
      <c r="G18" s="12"/>
      <c r="H18" s="5" t="str">
        <f aca="false">IF(G18="","",IF(ROUND(G18,3)=ROUND(2.8,3),"✓","✗"))</f>
        <v/>
      </c>
    </row>
    <row r="20" customFormat="false" ht="15" hidden="false" customHeight="false" outlineLevel="0" collapsed="false">
      <c r="A20" s="5" t="s">
        <v>38</v>
      </c>
      <c r="D20" s="11"/>
      <c r="E20" s="11"/>
      <c r="F20" s="5" t="s">
        <v>36</v>
      </c>
      <c r="G20" s="12"/>
      <c r="H20" s="5" t="str">
        <f aca="false">IF(G20="","",IF(UPPER(TRIM(G20))=UPPER("quadratic"),"✓","✗"))</f>
        <v/>
      </c>
    </row>
    <row r="22" customFormat="false" ht="15" hidden="false" customHeight="false" outlineLevel="0" collapsed="false">
      <c r="A22" s="5" t="s">
        <v>39</v>
      </c>
      <c r="D22" s="11" t="s">
        <v>40</v>
      </c>
      <c r="E22" s="11"/>
      <c r="F22" s="5" t="s">
        <v>36</v>
      </c>
      <c r="G22" s="12"/>
      <c r="H22" s="5" t="str">
        <f aca="false">IF(G22="","",IF(UPPER(TRIM(G22))=UPPER("linear"),"✓","✗"))</f>
        <v/>
      </c>
    </row>
  </sheetData>
  <mergeCells count="4">
    <mergeCell ref="D16:E16"/>
    <mergeCell ref="D18:E18"/>
    <mergeCell ref="D20:E20"/>
    <mergeCell ref="D22:E22"/>
  </mergeCells>
  <conditionalFormatting sqref="A1:J22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9"/>
    <col collapsed="false" customWidth="true" hidden="false" outlineLevel="0" max="5" min="5" style="0" width="12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41</v>
      </c>
    </row>
    <row r="3" customFormat="false" ht="15" hidden="false" customHeight="false" outlineLevel="0" collapsed="false">
      <c r="A3" s="2" t="s">
        <v>42</v>
      </c>
    </row>
    <row r="5" customFormat="false" ht="15" hidden="false" customHeight="false" outlineLevel="0" collapsed="false">
      <c r="A5" s="9" t="s">
        <v>43</v>
      </c>
    </row>
    <row r="7" customFormat="false" ht="15" hidden="false" customHeight="false" outlineLevel="0" collapsed="false">
      <c r="A7" s="5" t="s">
        <v>44</v>
      </c>
    </row>
    <row r="9" customFormat="false" ht="15" hidden="false" customHeight="false" outlineLevel="0" collapsed="false">
      <c r="A9" s="4" t="s">
        <v>45</v>
      </c>
    </row>
    <row r="11" customFormat="false" ht="15" hidden="false" customHeight="false" outlineLevel="0" collapsed="false">
      <c r="A11" s="10" t="s">
        <v>46</v>
      </c>
      <c r="B11" s="10" t="s">
        <v>47</v>
      </c>
      <c r="C11" s="10" t="s">
        <v>48</v>
      </c>
      <c r="D11" s="10" t="s">
        <v>49</v>
      </c>
      <c r="E11" s="10" t="s">
        <v>50</v>
      </c>
      <c r="F11" s="10" t="s">
        <v>51</v>
      </c>
    </row>
    <row r="12" customFormat="false" ht="15" hidden="false" customHeight="false" outlineLevel="0" collapsed="false">
      <c r="A12" s="7" t="n">
        <v>1</v>
      </c>
      <c r="B12" s="7" t="n">
        <v>3</v>
      </c>
      <c r="C12" s="7" t="n">
        <v>5</v>
      </c>
      <c r="D12" s="7" t="n">
        <v>7</v>
      </c>
      <c r="E12" s="8"/>
      <c r="F12" s="5" t="str">
        <f aca="false">IF(COUNT(E12)=0,"",IF(AND(ROUND(E12,3)=ROUND(5,3)),"✓","✗"))</f>
        <v/>
      </c>
    </row>
    <row r="13" customFormat="false" ht="15" hidden="false" customHeight="false" outlineLevel="0" collapsed="false">
      <c r="A13" s="7" t="n">
        <v>2</v>
      </c>
      <c r="B13" s="7" t="n">
        <v>3</v>
      </c>
      <c r="C13" s="7" t="n">
        <v>3</v>
      </c>
      <c r="D13" s="7" t="n">
        <v>5</v>
      </c>
      <c r="E13" s="8"/>
      <c r="F13" s="5" t="str">
        <f aca="false">IF(COUNT(E13)=0,"",IF(AND(ROUND(E13,3)=ROUND(3.666667,3)),"✓","✗"))</f>
        <v/>
      </c>
    </row>
    <row r="14" customFormat="false" ht="15" hidden="false" customHeight="false" outlineLevel="0" collapsed="false">
      <c r="A14" s="7" t="n">
        <v>3</v>
      </c>
      <c r="B14" s="7" t="n">
        <v>5</v>
      </c>
      <c r="C14" s="7" t="n">
        <v>7</v>
      </c>
      <c r="D14" s="7" t="n">
        <v>7</v>
      </c>
      <c r="E14" s="8"/>
      <c r="F14" s="5" t="str">
        <f aca="false">IF(COUNT(E14)=0,"",IF(AND(ROUND(E14,3)=ROUND(6.333333,3)),"✓","✗"))</f>
        <v/>
      </c>
    </row>
    <row r="15" customFormat="false" ht="15" hidden="false" customHeight="false" outlineLevel="0" collapsed="false">
      <c r="A15" s="7" t="n">
        <v>4</v>
      </c>
      <c r="B15" s="7" t="n">
        <v>3</v>
      </c>
      <c r="C15" s="7" t="n">
        <v>7</v>
      </c>
      <c r="D15" s="7" t="n">
        <v>7</v>
      </c>
      <c r="E15" s="8"/>
      <c r="F15" s="5" t="str">
        <f aca="false">IF(COUNT(E15)=0,"",IF(AND(ROUND(E15,3)=ROUND(5.666667,3)),"✓","✗"))</f>
        <v/>
      </c>
    </row>
    <row r="16" customFormat="false" ht="15" hidden="false" customHeight="false" outlineLevel="0" collapsed="false">
      <c r="A16" s="7" t="n">
        <v>5</v>
      </c>
      <c r="B16" s="7" t="n">
        <v>5</v>
      </c>
      <c r="C16" s="7" t="n">
        <v>5</v>
      </c>
      <c r="D16" s="7" t="n">
        <v>7</v>
      </c>
      <c r="E16" s="8"/>
      <c r="F16" s="5" t="str">
        <f aca="false">IF(COUNT(E16)=0,"",IF(AND(ROUND(E16,3)=ROUND(5.666667,3)),"✓","✗"))</f>
        <v/>
      </c>
    </row>
    <row r="18" customFormat="false" ht="15" hidden="false" customHeight="false" outlineLevel="0" collapsed="false">
      <c r="A18" s="5" t="s">
        <v>52</v>
      </c>
      <c r="D18" s="11" t="s">
        <v>53</v>
      </c>
      <c r="E18" s="11"/>
      <c r="F18" s="5" t="s">
        <v>36</v>
      </c>
      <c r="G18" s="12"/>
      <c r="H18" s="5" t="str">
        <f aca="false">IF(G18="","",IF(ROUND(G18,3)=ROUND(5.266667,3),"✓","✗"))</f>
        <v/>
      </c>
    </row>
    <row r="20" customFormat="false" ht="15" hidden="false" customHeight="false" outlineLevel="0" collapsed="false">
      <c r="A20" s="5" t="s">
        <v>54</v>
      </c>
      <c r="D20" s="11" t="s">
        <v>55</v>
      </c>
      <c r="E20" s="11"/>
      <c r="F20" s="5" t="s">
        <v>36</v>
      </c>
      <c r="G20" s="12"/>
      <c r="H20" s="5" t="str">
        <f aca="false">IF(G20="","",IF(ROUND(G20,3)=ROUND(1.01105,3),"✓","✗"))</f>
        <v/>
      </c>
    </row>
    <row r="22" customFormat="false" ht="15" hidden="false" customHeight="false" outlineLevel="0" collapsed="false">
      <c r="A22" s="5" t="s">
        <v>56</v>
      </c>
      <c r="D22" s="11" t="s">
        <v>57</v>
      </c>
      <c r="E22" s="11"/>
      <c r="F22" s="5" t="s">
        <v>36</v>
      </c>
      <c r="G22" s="12"/>
      <c r="H22" s="5" t="str">
        <f aca="false">IF(G22="","",IF(ROUND(G22,3)=ROUND(0.296296,3),"✓","✗"))</f>
        <v/>
      </c>
    </row>
  </sheetData>
  <mergeCells count="3">
    <mergeCell ref="D18:E18"/>
    <mergeCell ref="D20:E20"/>
    <mergeCell ref="D22:E22"/>
  </mergeCells>
  <conditionalFormatting sqref="A1:J22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58</v>
      </c>
    </row>
    <row r="3" customFormat="false" ht="15" hidden="false" customHeight="false" outlineLevel="0" collapsed="false">
      <c r="A3" s="2" t="s">
        <v>59</v>
      </c>
    </row>
    <row r="5" customFormat="false" ht="15" hidden="false" customHeight="false" outlineLevel="0" collapsed="false">
      <c r="A5" s="9" t="s">
        <v>60</v>
      </c>
    </row>
    <row r="7" customFormat="false" ht="15" hidden="false" customHeight="false" outlineLevel="0" collapsed="false">
      <c r="A7" s="5" t="s">
        <v>61</v>
      </c>
    </row>
    <row r="9" customFormat="false" ht="15" hidden="false" customHeight="false" outlineLevel="0" collapsed="false">
      <c r="A9" s="4" t="s">
        <v>62</v>
      </c>
    </row>
    <row r="11" customFormat="false" ht="15" hidden="false" customHeight="false" outlineLevel="0" collapsed="false">
      <c r="A11" s="10" t="s">
        <v>63</v>
      </c>
      <c r="B11" s="10" t="s">
        <v>64</v>
      </c>
      <c r="C11" s="10" t="s">
        <v>51</v>
      </c>
    </row>
    <row r="12" customFormat="false" ht="15" hidden="false" customHeight="false" outlineLevel="0" collapsed="false">
      <c r="A12" s="7" t="n">
        <v>0</v>
      </c>
      <c r="B12" s="8"/>
      <c r="C12" s="5" t="str">
        <f aca="false">IF(COUNT(B12)=0,"",IF(AND(ROUND(B12,3)=ROUND(2,3)),"✓","✗"))</f>
        <v/>
      </c>
    </row>
    <row r="13" customFormat="false" ht="15" hidden="false" customHeight="false" outlineLevel="0" collapsed="false">
      <c r="A13" s="7" t="n">
        <v>10</v>
      </c>
      <c r="B13" s="8"/>
      <c r="C13" s="5" t="str">
        <f aca="false">IF(COUNT(B13)=0,"",IF(AND(ROUND(B13,3)=ROUND(1,3)),"✓","✗"))</f>
        <v/>
      </c>
    </row>
    <row r="14" customFormat="false" ht="15" hidden="false" customHeight="false" outlineLevel="0" collapsed="false">
      <c r="A14" s="7" t="n">
        <v>40</v>
      </c>
      <c r="B14" s="8"/>
      <c r="C14" s="5" t="str">
        <f aca="false">IF(COUNT(B14)=0,"",IF(AND(ROUND(B14,3)=ROUND(0.4,3)),"✓","✗"))</f>
        <v/>
      </c>
    </row>
    <row r="15" customFormat="false" ht="15" hidden="false" customHeight="false" outlineLevel="0" collapsed="false">
      <c r="A15" s="7" t="n">
        <v>90</v>
      </c>
      <c r="B15" s="8"/>
      <c r="C15" s="5" t="str">
        <f aca="false">IF(COUNT(B15)=0,"",IF(AND(ROUND(B15,3)=ROUND(0.2,3)),"✓","✗"))</f>
        <v/>
      </c>
    </row>
    <row r="16" customFormat="false" ht="15" hidden="false" customHeight="false" outlineLevel="0" collapsed="false">
      <c r="A16" s="7" t="n">
        <v>990</v>
      </c>
      <c r="B16" s="8"/>
      <c r="C16" s="5" t="str">
        <f aca="false">IF(COUNT(B16)=0,"",IF(AND(ROUND(B16,3)=ROUND(0.02,3)),"✓","✗"))</f>
        <v/>
      </c>
    </row>
    <row r="18" customFormat="false" ht="15" hidden="false" customHeight="false" outlineLevel="0" collapsed="false">
      <c r="A18" s="5" t="s">
        <v>65</v>
      </c>
      <c r="D18" s="11" t="s">
        <v>66</v>
      </c>
      <c r="E18" s="11"/>
      <c r="F18" s="5" t="s">
        <v>36</v>
      </c>
      <c r="G18" s="12"/>
      <c r="H18" s="5" t="str">
        <f aca="false">IF(G18="","",IF(UPPER(TRIM(G18))=UPPER("No"),"✓","✗"))</f>
        <v/>
      </c>
    </row>
  </sheetData>
  <mergeCells count="1">
    <mergeCell ref="D18:E18"/>
  </mergeCells>
  <conditionalFormatting sqref="A1:J18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0"/>
    <col collapsed="false" customWidth="true" hidden="false" outlineLevel="0" max="4" min="4" style="0" width="8"/>
  </cols>
  <sheetData>
    <row r="1" customFormat="false" ht="15" hidden="false" customHeight="false" outlineLevel="0" collapsed="false">
      <c r="A1" s="1" t="s">
        <v>67</v>
      </c>
    </row>
    <row r="3" customFormat="false" ht="15" hidden="false" customHeight="false" outlineLevel="0" collapsed="false">
      <c r="A3" s="2" t="s">
        <v>68</v>
      </c>
    </row>
    <row r="5" customFormat="false" ht="15" hidden="false" customHeight="false" outlineLevel="0" collapsed="false">
      <c r="A5" s="9" t="s">
        <v>69</v>
      </c>
    </row>
    <row r="7" customFormat="false" ht="15" hidden="false" customHeight="false" outlineLevel="0" collapsed="false">
      <c r="A7" s="5" t="s">
        <v>70</v>
      </c>
    </row>
    <row r="9" customFormat="false" ht="15" hidden="false" customHeight="false" outlineLevel="0" collapsed="false">
      <c r="A9" s="4" t="s">
        <v>71</v>
      </c>
    </row>
    <row r="11" customFormat="false" ht="15" hidden="false" customHeight="false" outlineLevel="0" collapsed="false">
      <c r="A11" s="10" t="s">
        <v>72</v>
      </c>
      <c r="B11" s="10" t="s">
        <v>73</v>
      </c>
      <c r="C11" s="10" t="s">
        <v>74</v>
      </c>
      <c r="D11" s="10" t="s">
        <v>51</v>
      </c>
    </row>
    <row r="12" customFormat="false" ht="15" hidden="false" customHeight="false" outlineLevel="0" collapsed="false">
      <c r="A12" s="7" t="s">
        <v>75</v>
      </c>
      <c r="B12" s="7" t="n">
        <v>3</v>
      </c>
      <c r="C12" s="8"/>
      <c r="D12" s="5" t="str">
        <f aca="false">IF(COUNT(C12)=0,"",IF(AND(ROUND(C12,3)=ROUND(2,3)),"✓","✗"))</f>
        <v/>
      </c>
    </row>
    <row r="13" customFormat="false" ht="15" hidden="false" customHeight="false" outlineLevel="0" collapsed="false">
      <c r="A13" s="7" t="s">
        <v>76</v>
      </c>
      <c r="B13" s="7" t="n">
        <v>-1.5</v>
      </c>
      <c r="C13" s="8"/>
      <c r="D13" s="5" t="str">
        <f aca="false">IF(COUNT(C13)=0,"",IF(AND(ROUND(C13,3)=ROUND(-0.5,3)),"✓","✗"))</f>
        <v/>
      </c>
    </row>
    <row r="14" customFormat="false" ht="15" hidden="false" customHeight="false" outlineLevel="0" collapsed="false">
      <c r="A14" s="7" t="s">
        <v>77</v>
      </c>
      <c r="B14" s="7" t="n">
        <v>0.4</v>
      </c>
      <c r="C14" s="8"/>
      <c r="D14" s="5" t="str">
        <f aca="false">IF(COUNT(C14)=0,"",IF(AND(ROUND(C14,3)=ROUND(0,3)),"✓","✗"))</f>
        <v/>
      </c>
    </row>
    <row r="15" customFormat="false" ht="15" hidden="false" customHeight="false" outlineLevel="0" collapsed="false">
      <c r="A15" s="7" t="s">
        <v>78</v>
      </c>
      <c r="B15" s="7" t="n">
        <v>-0.9</v>
      </c>
      <c r="C15" s="8"/>
      <c r="D15" s="5" t="str">
        <f aca="false">IF(COUNT(C15)=0,"",IF(AND(ROUND(C15,3)=ROUND(0,3)),"✓","✗"))</f>
        <v/>
      </c>
    </row>
    <row r="17" customFormat="false" ht="15" hidden="false" customHeight="false" outlineLevel="0" collapsed="false">
      <c r="A17" s="5" t="s">
        <v>79</v>
      </c>
      <c r="D17" s="11" t="s">
        <v>80</v>
      </c>
      <c r="E17" s="11"/>
      <c r="F17" s="5" t="s">
        <v>36</v>
      </c>
      <c r="G17" s="12"/>
      <c r="H17" s="5" t="str">
        <f aca="false">IF(G17="","",IF(ROUND(G17,3)=ROUND(2,3),"✓","✗"))</f>
        <v/>
      </c>
    </row>
    <row r="19" customFormat="false" ht="15" hidden="false" customHeight="false" outlineLevel="0" collapsed="false">
      <c r="A19" s="5" t="s">
        <v>81</v>
      </c>
      <c r="D19" s="11"/>
      <c r="E19" s="11"/>
      <c r="F19" s="5" t="s">
        <v>36</v>
      </c>
      <c r="G19" s="12"/>
      <c r="H19" s="5" t="str">
        <f aca="false">IF(G19="","",IF(ROUND(G19,3)=ROUND(0,3),"✓","✗"))</f>
        <v/>
      </c>
    </row>
  </sheetData>
  <mergeCells count="2">
    <mergeCell ref="D17:E17"/>
    <mergeCell ref="D19:E19"/>
  </mergeCells>
  <conditionalFormatting sqref="A1:J19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1" t="s">
        <v>82</v>
      </c>
    </row>
    <row r="3" customFormat="false" ht="15" hidden="false" customHeight="false" outlineLevel="0" collapsed="false">
      <c r="A3" s="2" t="s">
        <v>83</v>
      </c>
    </row>
    <row r="5" customFormat="false" ht="15" hidden="false" customHeight="false" outlineLevel="0" collapsed="false">
      <c r="A5" s="4" t="s">
        <v>84</v>
      </c>
    </row>
    <row r="7" customFormat="false" ht="15" hidden="false" customHeight="false" outlineLevel="0" collapsed="false">
      <c r="A7" s="5" t="s">
        <v>85</v>
      </c>
      <c r="B7" s="7" t="s">
        <v>86</v>
      </c>
    </row>
    <row r="8" customFormat="false" ht="15" hidden="false" customHeight="false" outlineLevel="0" collapsed="false">
      <c r="A8" s="5" t="s">
        <v>87</v>
      </c>
      <c r="B8" s="7" t="s">
        <v>88</v>
      </c>
    </row>
    <row r="9" customFormat="false" ht="15" hidden="false" customHeight="false" outlineLevel="0" collapsed="false">
      <c r="A9" s="5" t="s">
        <v>89</v>
      </c>
      <c r="B9" s="7" t="s">
        <v>90</v>
      </c>
    </row>
    <row r="11" customFormat="false" ht="15" hidden="false" customHeight="false" outlineLevel="0" collapsed="false">
      <c r="A11" s="4" t="s">
        <v>91</v>
      </c>
    </row>
    <row r="13" customFormat="false" ht="15" hidden="false" customHeight="false" outlineLevel="0" collapsed="false">
      <c r="A13" s="5" t="s">
        <v>92</v>
      </c>
      <c r="B13" s="7" t="s">
        <v>93</v>
      </c>
    </row>
    <row r="14" customFormat="false" ht="15" hidden="false" customHeight="false" outlineLevel="0" collapsed="false">
      <c r="A14" s="5" t="s">
        <v>94</v>
      </c>
      <c r="B14" s="7" t="n">
        <v>5.267</v>
      </c>
    </row>
    <row r="15" customFormat="false" ht="15" hidden="false" customHeight="false" outlineLevel="0" collapsed="false">
      <c r="A15" s="5" t="s">
        <v>16</v>
      </c>
      <c r="B15" s="7" t="n">
        <v>1.011</v>
      </c>
    </row>
    <row r="16" customFormat="false" ht="15" hidden="false" customHeight="false" outlineLevel="0" collapsed="false">
      <c r="A16" s="5" t="s">
        <v>95</v>
      </c>
      <c r="B16" s="7" t="n">
        <v>0.2963</v>
      </c>
    </row>
    <row r="18" customFormat="false" ht="15" hidden="false" customHeight="false" outlineLevel="0" collapsed="false">
      <c r="A18" s="4" t="s">
        <v>96</v>
      </c>
    </row>
    <row r="20" customFormat="false" ht="15" hidden="false" customHeight="false" outlineLevel="0" collapsed="false">
      <c r="A20" s="5" t="s">
        <v>97</v>
      </c>
      <c r="B20" s="7" t="s">
        <v>98</v>
      </c>
    </row>
    <row r="21" customFormat="false" ht="15" hidden="false" customHeight="false" outlineLevel="0" collapsed="false">
      <c r="A21" s="5" t="s">
        <v>99</v>
      </c>
      <c r="B21" s="7" t="s">
        <v>100</v>
      </c>
    </row>
    <row r="23" customFormat="false" ht="15" hidden="false" customHeight="false" outlineLevel="0" collapsed="false">
      <c r="A23" s="4" t="s">
        <v>101</v>
      </c>
    </row>
    <row r="25" customFormat="false" ht="15" hidden="false" customHeight="false" outlineLevel="0" collapsed="false">
      <c r="A25" s="5" t="s">
        <v>102</v>
      </c>
      <c r="B25" s="7" t="s">
        <v>103</v>
      </c>
    </row>
    <row r="26" customFormat="false" ht="15" hidden="false" customHeight="false" outlineLevel="0" collapsed="false">
      <c r="A26" s="5" t="s">
        <v>104</v>
      </c>
      <c r="B26" s="7" t="n">
        <v>2</v>
      </c>
    </row>
    <row r="27" customFormat="false" ht="15" hidden="false" customHeight="false" outlineLevel="0" collapsed="false">
      <c r="A27" s="5" t="s">
        <v>105</v>
      </c>
      <c r="B27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2026-07-07T19:42:59Z</dcterms:created>
  <dc:creator>openpyxl</dc:creator>
  <dc:description/>
  <dc:language>en-US</dc:language>
  <cp:lastModifiedBy/>
  <dcterms:modified xsi:type="dcterms:W3CDTF">2026-07-07T19:42:59Z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